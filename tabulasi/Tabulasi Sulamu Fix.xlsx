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LPLPO/Data Fix/"/>
    </mc:Choice>
  </mc:AlternateContent>
  <xr:revisionPtr revIDLastSave="3" documentId="8_{66080A11-A2FC-864F-8DE5-F2B7D8E19435}" xr6:coauthVersionLast="47" xr6:coauthVersionMax="47" xr10:uidLastSave="{ECC10DF0-226A-744D-A353-8B369AE05698}"/>
  <bookViews>
    <workbookView xWindow="0" yWindow="0" windowWidth="28800" windowHeight="18000" xr2:uid="{B361B2BE-E788-EE4A-A5B6-DE6D4C1A0AB6}"/>
  </bookViews>
  <sheets>
    <sheet name="Tarus" sheetId="1" r:id="rId1"/>
    <sheet name="Lembar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" i="1"/>
  <c r="L5" i="1"/>
  <c r="L6" i="1"/>
  <c r="L8" i="1"/>
  <c r="L10" i="1"/>
  <c r="L15" i="1"/>
  <c r="L17" i="1"/>
  <c r="L18" i="1"/>
  <c r="L19" i="1"/>
  <c r="L20" i="1"/>
  <c r="L21" i="1"/>
  <c r="L22" i="1"/>
  <c r="L24" i="1"/>
  <c r="L25" i="1"/>
  <c r="L26" i="1"/>
  <c r="L28" i="1"/>
  <c r="L29" i="1"/>
  <c r="L30" i="1"/>
  <c r="L31" i="1"/>
  <c r="L32" i="1"/>
  <c r="L33" i="1"/>
  <c r="L34" i="1"/>
  <c r="L36" i="1"/>
  <c r="L37" i="1"/>
  <c r="L38" i="1"/>
  <c r="L39" i="1"/>
  <c r="L41" i="1"/>
  <c r="L42" i="1"/>
  <c r="L43" i="1"/>
  <c r="L44" i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" i="1"/>
  <c r="U4" i="1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" i="1"/>
  <c r="J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" i="1"/>
  <c r="Q23" i="1" l="1"/>
  <c r="U23" i="1"/>
  <c r="U38" i="1"/>
  <c r="Q38" i="1"/>
  <c r="U6" i="1"/>
  <c r="Q6" i="1"/>
  <c r="Q13" i="1"/>
  <c r="U13" i="1"/>
  <c r="Q44" i="1"/>
  <c r="U44" i="1"/>
  <c r="Q12" i="1"/>
  <c r="U12" i="1"/>
  <c r="U11" i="1"/>
  <c r="Q11" i="1"/>
  <c r="U39" i="1"/>
  <c r="Q39" i="1"/>
  <c r="Q7" i="1"/>
  <c r="U7" i="1"/>
  <c r="Q30" i="1"/>
  <c r="U30" i="1"/>
  <c r="Q37" i="1"/>
  <c r="U37" i="1"/>
  <c r="Q5" i="1"/>
  <c r="U5" i="1"/>
  <c r="Q20" i="1"/>
  <c r="U20" i="1"/>
  <c r="U35" i="1"/>
  <c r="Q35" i="1"/>
  <c r="U42" i="1"/>
  <c r="Q42" i="1"/>
  <c r="Q26" i="1"/>
  <c r="U26" i="1"/>
  <c r="Q18" i="1"/>
  <c r="U18" i="1"/>
  <c r="Q10" i="1"/>
  <c r="U10" i="1"/>
  <c r="Q15" i="1"/>
  <c r="U15" i="1"/>
  <c r="U22" i="1"/>
  <c r="Q22" i="1"/>
  <c r="Q21" i="1"/>
  <c r="U21" i="1"/>
  <c r="Q36" i="1"/>
  <c r="U36" i="1"/>
  <c r="U43" i="1"/>
  <c r="Q43" i="1"/>
  <c r="U27" i="1"/>
  <c r="Q27" i="1"/>
  <c r="U41" i="1"/>
  <c r="Q41" i="1"/>
  <c r="Q33" i="1"/>
  <c r="U33" i="1"/>
  <c r="U25" i="1"/>
  <c r="Q25" i="1"/>
  <c r="Q17" i="1"/>
  <c r="U17" i="1"/>
  <c r="U9" i="1"/>
  <c r="Q9" i="1"/>
  <c r="Q31" i="1"/>
  <c r="U31" i="1"/>
  <c r="Q14" i="1"/>
  <c r="U14" i="1"/>
  <c r="Q29" i="1"/>
  <c r="U29" i="1"/>
  <c r="Q28" i="1"/>
  <c r="U28" i="1"/>
  <c r="U19" i="1"/>
  <c r="Q19" i="1"/>
  <c r="Q34" i="1"/>
  <c r="U34" i="1"/>
  <c r="U40" i="1"/>
  <c r="Q40" i="1"/>
  <c r="Q32" i="1"/>
  <c r="U32" i="1"/>
  <c r="U24" i="1"/>
  <c r="Q24" i="1"/>
  <c r="Q16" i="1"/>
  <c r="U16" i="1"/>
  <c r="U8" i="1"/>
  <c r="Q8" i="1"/>
  <c r="O4" i="1"/>
  <c r="Q4" i="1"/>
  <c r="AB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E14" i="1" l="1"/>
  <c r="E12" i="1"/>
  <c r="P41" i="1" l="1"/>
  <c r="O41" i="1"/>
  <c r="AB41" i="1" l="1"/>
  <c r="P39" i="1"/>
  <c r="O39" i="1"/>
  <c r="AB39" i="1" l="1"/>
  <c r="O27" i="1"/>
  <c r="P8" i="1"/>
  <c r="P13" i="1"/>
  <c r="O26" i="1"/>
  <c r="O15" i="1"/>
  <c r="P14" i="1"/>
  <c r="O14" i="1"/>
  <c r="P27" i="1"/>
  <c r="AB13" i="1" l="1"/>
  <c r="AB8" i="1"/>
  <c r="AB27" i="1"/>
  <c r="AB14" i="1"/>
  <c r="P11" i="1"/>
  <c r="O16" i="1"/>
  <c r="O9" i="1"/>
  <c r="O23" i="1"/>
  <c r="P31" i="1"/>
  <c r="O10" i="1"/>
  <c r="P20" i="1"/>
  <c r="O13" i="1"/>
  <c r="O8" i="1"/>
  <c r="O18" i="1"/>
  <c r="P24" i="1"/>
  <c r="P7" i="1"/>
  <c r="P26" i="1"/>
  <c r="P12" i="1"/>
  <c r="O20" i="1"/>
  <c r="P15" i="1"/>
  <c r="O36" i="1"/>
  <c r="P16" i="1"/>
  <c r="O17" i="1"/>
  <c r="P17" i="1"/>
  <c r="O11" i="1"/>
  <c r="O29" i="1"/>
  <c r="O22" i="1"/>
  <c r="P22" i="1"/>
  <c r="AB22" i="1" l="1"/>
  <c r="AB17" i="1"/>
  <c r="AB11" i="1"/>
  <c r="AB12" i="1"/>
  <c r="AB7" i="1"/>
  <c r="AB24" i="1"/>
  <c r="AB16" i="1"/>
  <c r="AB15" i="1"/>
  <c r="AB20" i="1"/>
  <c r="AB26" i="1"/>
  <c r="AB31" i="1"/>
  <c r="P9" i="1"/>
  <c r="P23" i="1"/>
  <c r="O31" i="1"/>
  <c r="O38" i="1"/>
  <c r="P38" i="1"/>
  <c r="P10" i="1"/>
  <c r="O7" i="1"/>
  <c r="P36" i="1"/>
  <c r="O35" i="1"/>
  <c r="O24" i="1"/>
  <c r="O19" i="1"/>
  <c r="P19" i="1"/>
  <c r="O21" i="1"/>
  <c r="P21" i="1"/>
  <c r="P18" i="1"/>
  <c r="O30" i="1"/>
  <c r="O12" i="1"/>
  <c r="O25" i="1"/>
  <c r="P25" i="1"/>
  <c r="P29" i="1"/>
  <c r="O34" i="1"/>
  <c r="AB38" i="1" l="1"/>
  <c r="AB25" i="1"/>
  <c r="AB18" i="1"/>
  <c r="AB10" i="1"/>
  <c r="AB19" i="1"/>
  <c r="AB21" i="1"/>
  <c r="AB29" i="1"/>
  <c r="AB23" i="1"/>
  <c r="AB9" i="1"/>
  <c r="AB36" i="1"/>
  <c r="P35" i="1"/>
  <c r="O5" i="1"/>
  <c r="P30" i="1"/>
  <c r="O44" i="1"/>
  <c r="O28" i="1"/>
  <c r="O33" i="1"/>
  <c r="P43" i="1"/>
  <c r="P44" i="1"/>
  <c r="P5" i="1"/>
  <c r="P34" i="1"/>
  <c r="O37" i="1"/>
  <c r="P37" i="1"/>
  <c r="AB35" i="1" l="1"/>
  <c r="AB34" i="1"/>
  <c r="AB44" i="1"/>
  <c r="AB43" i="1"/>
  <c r="AB5" i="1"/>
  <c r="AB37" i="1"/>
  <c r="AB30" i="1"/>
  <c r="O43" i="1"/>
  <c r="P33" i="1"/>
  <c r="P28" i="1"/>
  <c r="P42" i="1"/>
  <c r="O32" i="1"/>
  <c r="P32" i="1"/>
  <c r="O40" i="1"/>
  <c r="P40" i="1"/>
  <c r="AB40" i="1" l="1"/>
  <c r="AB28" i="1"/>
  <c r="AB32" i="1"/>
  <c r="AB33" i="1"/>
  <c r="AB42" i="1"/>
  <c r="O42" i="1"/>
  <c r="O6" i="1" l="1"/>
  <c r="P6" i="1"/>
  <c r="AB6" i="1" l="1"/>
</calcChain>
</file>

<file path=xl/sharedStrings.xml><?xml version="1.0" encoding="utf-8"?>
<sst xmlns="http://schemas.openxmlformats.org/spreadsheetml/2006/main" count="111" uniqueCount="77">
  <si>
    <t>Daftar Obat Indikator</t>
  </si>
  <si>
    <t>No</t>
  </si>
  <si>
    <t>Kode Obat</t>
  </si>
  <si>
    <t>Nama Obat</t>
  </si>
  <si>
    <t>Satuan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</si>
  <si>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</si>
  <si>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</si>
  <si>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</si>
  <si>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</si>
  <si>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</si>
  <si>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</si>
  <si>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</si>
  <si>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</si>
  <si>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</si>
  <si>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</si>
  <si>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</si>
  <si>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</si>
  <si>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</si>
  <si>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</si>
  <si>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</si>
  <si>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</si>
  <si>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</si>
  <si>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</si>
  <si>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Garam Oralit Serbuk</t>
  </si>
  <si>
    <t>Bungkus</t>
  </si>
  <si>
    <t xml:space="preserve">Glimepirid 2 mg Tablet </t>
  </si>
  <si>
    <t>Haloperidol  5 mg Tablet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</si>
  <si>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</si>
  <si>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</si>
  <si>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</si>
  <si>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</si>
  <si>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</si>
  <si>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</si>
  <si>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</si>
  <si>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</si>
  <si>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</si>
  <si>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</si>
  <si>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</si>
  <si>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</si>
  <si>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</si>
  <si>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</si>
  <si>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</si>
  <si>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200.000 IU Kapsul Lunak</t>
  </si>
  <si>
    <t>Salbutamol  2 mg Tablet</t>
  </si>
  <si>
    <t xml:space="preserve">Simvastatin 10 mg Tablet </t>
  </si>
  <si>
    <t>Zinc Sulfate Monohydrate 20 mg Tablet Dispersible</t>
  </si>
  <si>
    <t>Penerimaan</t>
  </si>
  <si>
    <t>Pemakaian</t>
  </si>
  <si>
    <t>Stok Akhir</t>
  </si>
  <si>
    <t>Harga</t>
  </si>
  <si>
    <t>SA</t>
  </si>
  <si>
    <t>Ibuprofen 200 mg Tablet Salut Selaput</t>
  </si>
  <si>
    <t>Retinol Palmitate 100.000 IU Kapsul Lunak</t>
  </si>
  <si>
    <t>tube</t>
  </si>
  <si>
    <t>Gentamisin salep kulit</t>
  </si>
  <si>
    <t>Gentamisin salep mata</t>
  </si>
  <si>
    <t>Fitomenadion Injeksi</t>
  </si>
  <si>
    <t>Total Penerimaan</t>
  </si>
  <si>
    <t>Total Stok  Awal</t>
  </si>
  <si>
    <t>Total Pemakaian</t>
  </si>
  <si>
    <t>Total Stok Akhir</t>
  </si>
  <si>
    <t>Total Stok</t>
  </si>
  <si>
    <t>Pemakaian Bulanan</t>
  </si>
  <si>
    <t>Tingkat Ketersediaan</t>
  </si>
  <si>
    <t>RKO</t>
  </si>
  <si>
    <t>% Ketepatan Perencanaan</t>
  </si>
  <si>
    <t>ED</t>
  </si>
  <si>
    <t>Ketepatan Permintaan</t>
  </si>
  <si>
    <t>Ketepatan Penerimaan</t>
  </si>
  <si>
    <t>Ketepatan jumlah distribusi</t>
  </si>
  <si>
    <t>TOR</t>
  </si>
  <si>
    <t>Stok Mati</t>
  </si>
  <si>
    <t>Obat ED</t>
  </si>
  <si>
    <t>Kesesuaian Jumlah Fisik</t>
  </si>
  <si>
    <t>Monev</t>
  </si>
  <si>
    <t>Inv on hand</t>
  </si>
  <si>
    <t>Rata2 Ketersediaan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</si>
</sst>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.00_);_(&quot;Rp&quot;* \(#,##0.00\);_(&quot;Rp&quot;* &quot;-&quot;_);_(@_)"/>
    <numFmt numFmtId="165" formatCode="_-&quot;Rp&quot;* #,##0.00_-;\-&quot;Rp&quot;* #,##0.00_-;_-&quot;Rp&quot;* &quot;-&quot;_-;_-@_-"/>
  </numFmts>
  <fonts count="20" x14ac:knownFonts="1">
    <font>
      <sz val="12"/>
      <color theme="1"/>
      <name val="Aptos Narrow"/>
      <family val="2"/>
      <charset val="1"/>
      <scheme val="minor"/>
    </font>
    <font>
      <u/>
      <sz val="12"/>
      <color theme="10"/>
      <name val="Aptos Narrow"/>
      <family val="2"/>
      <charset val="1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charset val="1"/>
      <scheme val="minor"/>
    </font>
    <font>
      <b/>
      <sz val="14"/>
      <color rgb="FF000000"/>
      <name val="Calibri"/>
      <family val="2"/>
    </font>
    <font>
      <sz val="14"/>
      <color theme="1"/>
      <name val="Aptos Narrow"/>
      <family val="2"/>
      <charset val="1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rgb="FF212529"/>
      <name val="Aptos Narrow"/>
      <scheme val="minor"/>
    </font>
    <font>
      <sz val="14"/>
      <color rgb="FF000000"/>
      <name val="Times New Roman"/>
      <family val="1"/>
    </font>
    <font>
      <sz val="12"/>
      <color rgb="FFFF0000"/>
      <name val="Aptos Narrow"/>
      <family val="2"/>
      <charset val="1"/>
      <scheme val="minor"/>
    </font>
    <font>
      <sz val="14"/>
      <color rgb="FFFF0000"/>
      <name val="Aptos Narrow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65" fontId="7" fillId="0" borderId="0" xfId="0" applyNumberFormat="1" applyFont="1" applyAlignment="1">
      <alignment horizontal="right" vertical="top"/>
    </xf>
    <xf numFmtId="0" fontId="4" fillId="5" borderId="1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4" fillId="3" borderId="1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4" fillId="3" borderId="1" xfId="0" applyFont="1" applyFill="1" applyBorder="1" applyAlignment="1">
      <alignment vertical="top"/>
    </xf>
    <xf numFmtId="0" fontId="13" fillId="4" borderId="0" xfId="0" applyFont="1" applyFill="1" applyAlignment="1">
      <alignment vertical="top"/>
    </xf>
    <xf numFmtId="165" fontId="15" fillId="0" borderId="1" xfId="0" applyNumberFormat="1" applyFont="1" applyBorder="1" applyAlignment="1">
      <alignment horizontal="right" vertical="top"/>
    </xf>
    <xf numFmtId="0" fontId="12" fillId="0" borderId="1" xfId="1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5" fontId="16" fillId="0" borderId="1" xfId="0" applyNumberFormat="1" applyFont="1" applyBorder="1" applyAlignment="1">
      <alignment horizontal="right" vertical="top"/>
    </xf>
    <xf numFmtId="165" fontId="11" fillId="0" borderId="1" xfId="0" applyNumberFormat="1" applyFont="1" applyBorder="1" applyAlignment="1">
      <alignment horizontal="right" vertical="top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/>
    <xf numFmtId="164" fontId="17" fillId="0" borderId="1" xfId="0" applyNumberFormat="1" applyFont="1" applyBorder="1"/>
    <xf numFmtId="165" fontId="17" fillId="0" borderId="7" xfId="0" applyNumberFormat="1" applyFont="1" applyBorder="1" applyAlignment="1">
      <alignment horizontal="left"/>
    </xf>
    <xf numFmtId="0" fontId="12" fillId="0" borderId="5" xfId="1" applyNumberFormat="1" applyFont="1" applyBorder="1" applyAlignment="1">
      <alignment horizontal="center" vertical="top"/>
    </xf>
    <xf numFmtId="165" fontId="17" fillId="0" borderId="6" xfId="0" applyNumberFormat="1" applyFont="1" applyBorder="1" applyAlignment="1">
      <alignment horizontal="left"/>
    </xf>
    <xf numFmtId="165" fontId="17" fillId="0" borderId="8" xfId="0" applyNumberFormat="1" applyFont="1" applyBorder="1" applyAlignment="1">
      <alignment horizontal="left"/>
    </xf>
    <xf numFmtId="0" fontId="12" fillId="0" borderId="4" xfId="1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0" fontId="10" fillId="6" borderId="0" xfId="0" applyFont="1" applyFill="1" applyAlignment="1">
      <alignment vertical="top"/>
    </xf>
    <xf numFmtId="0" fontId="13" fillId="7" borderId="0" xfId="0" applyFont="1" applyFill="1" applyAlignment="1">
      <alignment horizontal="center" vertical="top"/>
    </xf>
    <xf numFmtId="0" fontId="13" fillId="7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9" fontId="18" fillId="0" borderId="0" xfId="2" applyFont="1" applyAlignment="1">
      <alignment vertical="top"/>
    </xf>
    <xf numFmtId="2" fontId="18" fillId="0" borderId="0" xfId="0" applyNumberFormat="1" applyFont="1" applyAlignment="1">
      <alignment vertical="top"/>
    </xf>
    <xf numFmtId="2" fontId="19" fillId="0" borderId="0" xfId="0" applyNumberFormat="1" applyFont="1" applyAlignment="1">
      <alignment vertical="top"/>
    </xf>
    <xf numFmtId="9" fontId="18" fillId="0" borderId="0" xfId="0" applyNumberFormat="1" applyFont="1" applyAlignment="1">
      <alignment vertical="top"/>
    </xf>
    <xf numFmtId="0" fontId="0" fillId="6" borderId="0" xfId="0" applyFill="1"/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13" fillId="2" borderId="1" xfId="0" applyNumberFormat="1" applyFont="1" applyFill="1" applyBorder="1" applyAlignment="1">
      <alignment horizontal="right" vertical="top"/>
    </xf>
  </cellXfs>
  <cellStyles count="3">
    <cellStyle name="Hipertaut" xfId="1" builtinId="8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73C-D5D3-ED43-AA96-266C4786E66E}">
  <dimension ref="A1:AD60"/>
  <sheetViews>
    <sheetView tabSelected="1" topLeftCell="D1" zoomScale="90" zoomScaleNormal="90" workbookViewId="0">
      <selection activeCell="U16" sqref="U16"/>
    </sheetView>
  </sheetViews>
  <sheetFormatPr baseColWidth="10" defaultColWidth="8.83203125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7.33203125" style="9" customWidth="1"/>
    <col min="6" max="6" width="8" style="7" customWidth="1"/>
    <col min="7" max="7" width="9.5" style="2" customWidth="1"/>
    <col min="8" max="8" width="8.1640625" style="2" customWidth="1"/>
    <col min="9" max="9" width="13.33203125" style="2" customWidth="1"/>
    <col min="10" max="10" width="11.83203125" style="2" customWidth="1"/>
    <col min="11" max="11" width="12.33203125" style="2" customWidth="1"/>
    <col min="12" max="12" width="8.83203125" style="39" customWidth="1"/>
    <col min="13" max="13" width="14.1640625" style="2" customWidth="1"/>
    <col min="14" max="14" width="13.5" style="2" customWidth="1"/>
    <col min="15" max="15" width="11.83203125" style="2" customWidth="1"/>
    <col min="16" max="16" width="12.1640625" style="2" customWidth="1"/>
    <col min="17" max="17" width="8.83203125" style="2" customWidth="1"/>
    <col min="18" max="18" width="8.83203125" style="46" customWidth="1"/>
    <col min="19" max="19" width="8.83203125" style="39" customWidth="1"/>
    <col min="20" max="20" width="8.83203125" style="2"/>
    <col min="21" max="25" width="8.83203125" style="40"/>
    <col min="26" max="26" width="9.6640625" style="40" customWidth="1"/>
    <col min="27" max="29" width="8.83203125" style="40"/>
    <col min="30" max="16384" width="8.83203125" style="2"/>
  </cols>
  <sheetData>
    <row r="1" spans="1:30" ht="19" x14ac:dyDescent="0.2">
      <c r="A1" s="47" t="s">
        <v>0</v>
      </c>
      <c r="B1" s="48"/>
      <c r="C1" s="48"/>
      <c r="D1" s="13"/>
      <c r="E1" s="14"/>
      <c r="F1" s="15"/>
      <c r="G1" s="16"/>
      <c r="H1" s="16"/>
      <c r="I1" s="16"/>
      <c r="J1" s="16"/>
      <c r="K1" s="16"/>
      <c r="L1" s="36"/>
      <c r="M1" s="16"/>
      <c r="N1" s="16"/>
      <c r="O1" s="16"/>
      <c r="P1" s="16"/>
      <c r="Q1" s="16"/>
      <c r="Z1" s="41"/>
    </row>
    <row r="2" spans="1:30" ht="19" customHeight="1" x14ac:dyDescent="0.2">
      <c r="A2" s="50" t="s">
        <v>1</v>
      </c>
      <c r="B2" s="52" t="s">
        <v>2</v>
      </c>
      <c r="C2" s="52" t="s">
        <v>3</v>
      </c>
      <c r="D2" s="52" t="s">
        <v>4</v>
      </c>
      <c r="E2" s="54" t="s">
        <v>49</v>
      </c>
      <c r="F2" s="49">
        <v>2024</v>
      </c>
      <c r="G2" s="49"/>
      <c r="H2" s="49"/>
      <c r="I2" s="49"/>
      <c r="J2" s="49"/>
      <c r="K2" s="18" t="s">
        <v>58</v>
      </c>
      <c r="L2" s="37"/>
      <c r="M2" s="16" t="s">
        <v>57</v>
      </c>
      <c r="N2" s="16" t="s">
        <v>59</v>
      </c>
      <c r="O2" s="16" t="s">
        <v>60</v>
      </c>
      <c r="P2" s="16" t="s">
        <v>61</v>
      </c>
      <c r="Q2" s="16" t="s">
        <v>62</v>
      </c>
      <c r="R2" s="36" t="s">
        <v>75</v>
      </c>
      <c r="S2" s="39" t="s">
        <v>76</v>
      </c>
      <c r="T2" s="2" t="s">
        <v>64</v>
      </c>
      <c r="U2" s="40" t="s">
        <v>65</v>
      </c>
      <c r="V2" s="40" t="s">
        <v>67</v>
      </c>
      <c r="W2" s="40" t="s">
        <v>68</v>
      </c>
      <c r="X2" s="40" t="s">
        <v>69</v>
      </c>
      <c r="Y2" s="40" t="s">
        <v>70</v>
      </c>
      <c r="Z2" s="41" t="s">
        <v>63</v>
      </c>
      <c r="AA2" s="40" t="s">
        <v>71</v>
      </c>
      <c r="AB2" s="40" t="s">
        <v>72</v>
      </c>
      <c r="AC2" s="40" t="s">
        <v>73</v>
      </c>
      <c r="AD2" s="40" t="s">
        <v>74</v>
      </c>
    </row>
    <row r="3" spans="1:30" ht="19" x14ac:dyDescent="0.2">
      <c r="A3" s="51"/>
      <c r="B3" s="53"/>
      <c r="C3" s="53"/>
      <c r="D3" s="53"/>
      <c r="E3" s="54"/>
      <c r="F3" s="8" t="s">
        <v>50</v>
      </c>
      <c r="G3" s="19" t="s">
        <v>46</v>
      </c>
      <c r="H3" s="17" t="s">
        <v>66</v>
      </c>
      <c r="I3" s="19" t="s">
        <v>47</v>
      </c>
      <c r="J3" s="19" t="s">
        <v>48</v>
      </c>
      <c r="K3" s="20"/>
      <c r="L3" s="38"/>
      <c r="M3" s="16"/>
      <c r="N3" s="16"/>
      <c r="O3" s="16"/>
      <c r="P3" s="16"/>
      <c r="Q3" s="16"/>
      <c r="Z3" s="41"/>
    </row>
    <row r="4" spans="1:30" ht="19" x14ac:dyDescent="0.2">
      <c r="A4" s="3">
        <v>1</v>
      </c>
      <c r="B4" s="4">
        <v>92000146</v>
      </c>
      <c r="C4" s="3" t="s">
        <v>5</v>
      </c>
      <c r="D4" s="5" t="s">
        <v>6</v>
      </c>
      <c r="E4" s="21">
        <v>457</v>
      </c>
      <c r="F4" s="22">
        <v>0</v>
      </c>
      <c r="G4" s="22">
        <v>7800</v>
      </c>
      <c r="H4" s="22"/>
      <c r="I4" s="22">
        <v>6930</v>
      </c>
      <c r="J4" s="23">
        <f>F4+G4-I4-H4</f>
        <v>870</v>
      </c>
      <c r="K4" s="16">
        <f>F4</f>
        <v>0</v>
      </c>
      <c r="L4" s="36">
        <v>7800</v>
      </c>
      <c r="M4" s="16">
        <f t="shared" ref="M4:M44" si="0">G4</f>
        <v>7800</v>
      </c>
      <c r="N4" s="16">
        <f t="shared" ref="N4:N44" si="1">I4</f>
        <v>6930</v>
      </c>
      <c r="O4" s="16">
        <f t="shared" ref="O4:O44" si="2">K4+M4-N4</f>
        <v>870</v>
      </c>
      <c r="P4" s="16">
        <f>K4+M4</f>
        <v>7800</v>
      </c>
      <c r="Q4" s="16">
        <f>N4/12</f>
        <v>577.5</v>
      </c>
      <c r="R4" s="46">
        <f>(L4+M4)-N4</f>
        <v>8670</v>
      </c>
      <c r="S4" s="39">
        <f>(L4+R4)/2</f>
        <v>8235</v>
      </c>
      <c r="T4" s="2">
        <v>1000</v>
      </c>
      <c r="U4" s="42">
        <f>T4/N4</f>
        <v>0.14430014430014429</v>
      </c>
      <c r="V4" s="42">
        <v>1</v>
      </c>
      <c r="W4" s="42">
        <v>1</v>
      </c>
      <c r="X4" s="42">
        <v>1</v>
      </c>
      <c r="Y4" s="43">
        <f>P4/S4</f>
        <v>0.94717668488160289</v>
      </c>
      <c r="Z4" s="44">
        <f>P4/Q4</f>
        <v>13.506493506493506</v>
      </c>
      <c r="AB4" s="43">
        <f>H4/P4*100%</f>
        <v>0</v>
      </c>
      <c r="AC4" s="45">
        <v>1</v>
      </c>
      <c r="AD4" s="45">
        <v>1</v>
      </c>
    </row>
    <row r="5" spans="1:30" ht="19" x14ac:dyDescent="0.2">
      <c r="A5" s="3">
        <v>2</v>
      </c>
      <c r="B5" s="4">
        <v>92000281</v>
      </c>
      <c r="C5" s="3" t="s">
        <v>7</v>
      </c>
      <c r="D5" s="5" t="s">
        <v>6</v>
      </c>
      <c r="E5" s="21">
        <v>99</v>
      </c>
      <c r="F5" s="24">
        <v>400</v>
      </c>
      <c r="G5" s="23">
        <v>1000</v>
      </c>
      <c r="H5" s="23"/>
      <c r="I5" s="23">
        <v>1400</v>
      </c>
      <c r="J5" s="23">
        <f t="shared" ref="J5:J44" si="3">F5+G5-I5-H5</f>
        <v>0</v>
      </c>
      <c r="K5" s="16">
        <f t="shared" ref="K5:K44" si="4">F5</f>
        <v>400</v>
      </c>
      <c r="L5" s="36">
        <f t="shared" ref="L5:L44" si="5">K5</f>
        <v>400</v>
      </c>
      <c r="M5" s="16">
        <f t="shared" si="0"/>
        <v>1000</v>
      </c>
      <c r="N5" s="16">
        <f t="shared" si="1"/>
        <v>1400</v>
      </c>
      <c r="O5" s="16">
        <f t="shared" si="2"/>
        <v>0</v>
      </c>
      <c r="P5" s="16">
        <f t="shared" ref="P5:P44" si="6">K5+M5</f>
        <v>1400</v>
      </c>
      <c r="Q5" s="16">
        <f t="shared" ref="Q5:Q44" si="7">N5/12</f>
        <v>116.66666666666667</v>
      </c>
      <c r="R5" s="46">
        <f t="shared" ref="R5:R44" si="8">(L5+M5)-N5</f>
        <v>0</v>
      </c>
      <c r="S5" s="39">
        <f t="shared" ref="S5:S44" si="9">(L5+R5)/2</f>
        <v>200</v>
      </c>
      <c r="T5" s="2">
        <v>250</v>
      </c>
      <c r="U5" s="42">
        <f t="shared" ref="U5:U44" si="10">T5/N5</f>
        <v>0.17857142857142858</v>
      </c>
      <c r="V5" s="42">
        <v>1</v>
      </c>
      <c r="W5" s="42">
        <v>1</v>
      </c>
      <c r="X5" s="42">
        <v>1</v>
      </c>
      <c r="Y5" s="43">
        <f t="shared" ref="Y5:Y44" si="11">P5/S5</f>
        <v>7</v>
      </c>
      <c r="Z5" s="44">
        <f t="shared" ref="Z5:Z44" si="12">P5/Q5</f>
        <v>12</v>
      </c>
      <c r="AB5" s="43">
        <f t="shared" ref="AB5:AB44" si="13">H5/P5*100%</f>
        <v>0</v>
      </c>
      <c r="AC5" s="45">
        <v>1</v>
      </c>
      <c r="AD5" s="45">
        <v>1</v>
      </c>
    </row>
    <row r="6" spans="1:30" ht="19" x14ac:dyDescent="0.2">
      <c r="A6" s="3">
        <v>3</v>
      </c>
      <c r="B6" s="4">
        <v>92000407</v>
      </c>
      <c r="C6" s="3" t="s">
        <v>8</v>
      </c>
      <c r="D6" s="5" t="s">
        <v>6</v>
      </c>
      <c r="E6" s="21">
        <v>78.709999999999994</v>
      </c>
      <c r="F6" s="24">
        <v>4600</v>
      </c>
      <c r="G6" s="23">
        <v>4000</v>
      </c>
      <c r="H6" s="23"/>
      <c r="I6" s="23">
        <v>6200</v>
      </c>
      <c r="J6" s="23">
        <f t="shared" si="3"/>
        <v>2400</v>
      </c>
      <c r="K6" s="16">
        <f t="shared" si="4"/>
        <v>4600</v>
      </c>
      <c r="L6" s="36">
        <f t="shared" si="5"/>
        <v>4600</v>
      </c>
      <c r="M6" s="16">
        <f t="shared" si="0"/>
        <v>4000</v>
      </c>
      <c r="N6" s="16">
        <f t="shared" si="1"/>
        <v>6200</v>
      </c>
      <c r="O6" s="16">
        <f t="shared" si="2"/>
        <v>2400</v>
      </c>
      <c r="P6" s="16">
        <f t="shared" si="6"/>
        <v>8600</v>
      </c>
      <c r="Q6" s="16">
        <f t="shared" si="7"/>
        <v>516.66666666666663</v>
      </c>
      <c r="R6" s="46">
        <f t="shared" si="8"/>
        <v>2400</v>
      </c>
      <c r="S6" s="39">
        <f t="shared" si="9"/>
        <v>3500</v>
      </c>
      <c r="T6" s="2">
        <v>2000</v>
      </c>
      <c r="U6" s="42">
        <f t="shared" si="10"/>
        <v>0.32258064516129031</v>
      </c>
      <c r="V6" s="42">
        <v>1</v>
      </c>
      <c r="W6" s="42">
        <v>1</v>
      </c>
      <c r="X6" s="42">
        <v>1</v>
      </c>
      <c r="Y6" s="43">
        <f t="shared" si="11"/>
        <v>2.4571428571428573</v>
      </c>
      <c r="Z6" s="44">
        <f t="shared" si="12"/>
        <v>16.645161290322584</v>
      </c>
      <c r="AB6" s="43">
        <f t="shared" si="13"/>
        <v>0</v>
      </c>
      <c r="AC6" s="45">
        <v>1</v>
      </c>
      <c r="AD6" s="45">
        <v>1</v>
      </c>
    </row>
    <row r="7" spans="1:30" ht="19" x14ac:dyDescent="0.2">
      <c r="A7" s="3">
        <v>4</v>
      </c>
      <c r="B7" s="4">
        <v>92001058</v>
      </c>
      <c r="C7" s="3" t="s">
        <v>9</v>
      </c>
      <c r="D7" s="5" t="s">
        <v>6</v>
      </c>
      <c r="E7" s="21">
        <v>61.55</v>
      </c>
      <c r="F7" s="24">
        <v>0</v>
      </c>
      <c r="G7" s="23">
        <v>12000</v>
      </c>
      <c r="H7" s="23"/>
      <c r="I7" s="23">
        <v>8600</v>
      </c>
      <c r="J7" s="23">
        <f t="shared" si="3"/>
        <v>3400</v>
      </c>
      <c r="K7" s="16">
        <f t="shared" si="4"/>
        <v>0</v>
      </c>
      <c r="L7" s="36">
        <v>12000</v>
      </c>
      <c r="M7" s="16">
        <f t="shared" si="0"/>
        <v>12000</v>
      </c>
      <c r="N7" s="16">
        <f t="shared" si="1"/>
        <v>8600</v>
      </c>
      <c r="O7" s="16">
        <f t="shared" si="2"/>
        <v>3400</v>
      </c>
      <c r="P7" s="16">
        <f t="shared" si="6"/>
        <v>12000</v>
      </c>
      <c r="Q7" s="16">
        <f t="shared" si="7"/>
        <v>716.66666666666663</v>
      </c>
      <c r="R7" s="46">
        <f t="shared" si="8"/>
        <v>15400</v>
      </c>
      <c r="S7" s="39">
        <f t="shared" si="9"/>
        <v>13700</v>
      </c>
      <c r="T7" s="2">
        <v>1000</v>
      </c>
      <c r="U7" s="42">
        <f t="shared" si="10"/>
        <v>0.11627906976744186</v>
      </c>
      <c r="V7" s="42">
        <v>1</v>
      </c>
      <c r="W7" s="42">
        <v>1</v>
      </c>
      <c r="X7" s="42">
        <v>1</v>
      </c>
      <c r="Y7" s="43">
        <f t="shared" si="11"/>
        <v>0.87591240875912413</v>
      </c>
      <c r="Z7" s="44">
        <f t="shared" si="12"/>
        <v>16.744186046511629</v>
      </c>
      <c r="AB7" s="43">
        <f t="shared" si="13"/>
        <v>0</v>
      </c>
      <c r="AC7" s="45">
        <v>1</v>
      </c>
      <c r="AD7" s="45">
        <v>1</v>
      </c>
    </row>
    <row r="8" spans="1:30" ht="19" x14ac:dyDescent="0.2">
      <c r="A8" s="3">
        <v>5</v>
      </c>
      <c r="B8" s="4">
        <v>92000881</v>
      </c>
      <c r="C8" s="3" t="s">
        <v>10</v>
      </c>
      <c r="D8" s="5" t="s">
        <v>6</v>
      </c>
      <c r="E8" s="21">
        <v>251</v>
      </c>
      <c r="F8" s="24">
        <v>5400</v>
      </c>
      <c r="G8" s="23">
        <v>30000</v>
      </c>
      <c r="H8" s="23"/>
      <c r="I8" s="23">
        <v>35400</v>
      </c>
      <c r="J8" s="23">
        <f t="shared" si="3"/>
        <v>0</v>
      </c>
      <c r="K8" s="16">
        <f t="shared" si="4"/>
        <v>5400</v>
      </c>
      <c r="L8" s="36">
        <f t="shared" si="5"/>
        <v>5400</v>
      </c>
      <c r="M8" s="16">
        <f t="shared" si="0"/>
        <v>30000</v>
      </c>
      <c r="N8" s="16">
        <f t="shared" si="1"/>
        <v>35400</v>
      </c>
      <c r="O8" s="16">
        <f t="shared" si="2"/>
        <v>0</v>
      </c>
      <c r="P8" s="16">
        <f t="shared" si="6"/>
        <v>35400</v>
      </c>
      <c r="Q8" s="16">
        <f t="shared" si="7"/>
        <v>2950</v>
      </c>
      <c r="R8" s="46">
        <f t="shared" si="8"/>
        <v>0</v>
      </c>
      <c r="S8" s="39">
        <f t="shared" si="9"/>
        <v>2700</v>
      </c>
      <c r="T8" s="2">
        <v>50000</v>
      </c>
      <c r="U8" s="42">
        <f t="shared" si="10"/>
        <v>1.4124293785310735</v>
      </c>
      <c r="V8" s="42">
        <v>1</v>
      </c>
      <c r="W8" s="42">
        <v>1</v>
      </c>
      <c r="X8" s="42">
        <v>1</v>
      </c>
      <c r="Y8" s="43">
        <f t="shared" si="11"/>
        <v>13.111111111111111</v>
      </c>
      <c r="Z8" s="44">
        <f t="shared" si="12"/>
        <v>12</v>
      </c>
      <c r="AB8" s="43">
        <f t="shared" si="13"/>
        <v>0</v>
      </c>
      <c r="AC8" s="45">
        <v>1</v>
      </c>
      <c r="AD8" s="45">
        <v>1</v>
      </c>
    </row>
    <row r="9" spans="1:30" ht="19" x14ac:dyDescent="0.2">
      <c r="A9" s="3">
        <v>6</v>
      </c>
      <c r="B9" s="4">
        <v>92000798</v>
      </c>
      <c r="C9" s="3" t="s">
        <v>11</v>
      </c>
      <c r="D9" s="5" t="s">
        <v>6</v>
      </c>
      <c r="E9" s="21">
        <v>55</v>
      </c>
      <c r="F9" s="24">
        <v>0</v>
      </c>
      <c r="G9" s="23">
        <v>10000</v>
      </c>
      <c r="H9" s="23"/>
      <c r="I9" s="23">
        <v>1000</v>
      </c>
      <c r="J9" s="23">
        <f t="shared" si="3"/>
        <v>9000</v>
      </c>
      <c r="K9" s="16">
        <f t="shared" si="4"/>
        <v>0</v>
      </c>
      <c r="L9" s="36">
        <v>10000</v>
      </c>
      <c r="M9" s="16">
        <f t="shared" si="0"/>
        <v>10000</v>
      </c>
      <c r="N9" s="16">
        <f t="shared" si="1"/>
        <v>1000</v>
      </c>
      <c r="O9" s="16">
        <f t="shared" si="2"/>
        <v>9000</v>
      </c>
      <c r="P9" s="16">
        <f t="shared" si="6"/>
        <v>10000</v>
      </c>
      <c r="Q9" s="16">
        <f t="shared" si="7"/>
        <v>83.333333333333329</v>
      </c>
      <c r="R9" s="46">
        <f t="shared" si="8"/>
        <v>19000</v>
      </c>
      <c r="S9" s="39">
        <f t="shared" si="9"/>
        <v>14500</v>
      </c>
      <c r="T9" s="2">
        <v>8000</v>
      </c>
      <c r="U9" s="42">
        <f t="shared" si="10"/>
        <v>8</v>
      </c>
      <c r="V9" s="42">
        <v>1</v>
      </c>
      <c r="W9" s="42">
        <v>1</v>
      </c>
      <c r="X9" s="42">
        <v>1</v>
      </c>
      <c r="Y9" s="43">
        <f t="shared" si="11"/>
        <v>0.68965517241379315</v>
      </c>
      <c r="Z9" s="44">
        <f t="shared" si="12"/>
        <v>120</v>
      </c>
      <c r="AB9" s="43">
        <f t="shared" si="13"/>
        <v>0</v>
      </c>
      <c r="AC9" s="45">
        <v>1</v>
      </c>
      <c r="AD9" s="45">
        <v>1</v>
      </c>
    </row>
    <row r="10" spans="1:30" ht="19" x14ac:dyDescent="0.2">
      <c r="A10" s="3">
        <v>7</v>
      </c>
      <c r="B10" s="4">
        <v>92000653</v>
      </c>
      <c r="C10" s="4" t="s">
        <v>12</v>
      </c>
      <c r="D10" s="6" t="s">
        <v>6</v>
      </c>
      <c r="E10" s="25">
        <v>265</v>
      </c>
      <c r="F10" s="24">
        <v>9800</v>
      </c>
      <c r="G10" s="23">
        <v>60000</v>
      </c>
      <c r="H10" s="23"/>
      <c r="I10" s="23">
        <v>69800</v>
      </c>
      <c r="J10" s="23">
        <f t="shared" si="3"/>
        <v>0</v>
      </c>
      <c r="K10" s="16">
        <f t="shared" si="4"/>
        <v>9800</v>
      </c>
      <c r="L10" s="36">
        <f t="shared" si="5"/>
        <v>9800</v>
      </c>
      <c r="M10" s="16">
        <f t="shared" si="0"/>
        <v>60000</v>
      </c>
      <c r="N10" s="16">
        <f t="shared" si="1"/>
        <v>69800</v>
      </c>
      <c r="O10" s="16">
        <f t="shared" si="2"/>
        <v>0</v>
      </c>
      <c r="P10" s="16">
        <f t="shared" si="6"/>
        <v>69800</v>
      </c>
      <c r="Q10" s="16">
        <f t="shared" si="7"/>
        <v>5816.666666666667</v>
      </c>
      <c r="R10" s="46">
        <f t="shared" si="8"/>
        <v>0</v>
      </c>
      <c r="S10" s="39">
        <f t="shared" si="9"/>
        <v>4900</v>
      </c>
      <c r="T10" s="2">
        <v>0</v>
      </c>
      <c r="U10" s="42">
        <f t="shared" si="10"/>
        <v>0</v>
      </c>
      <c r="V10" s="42">
        <v>1</v>
      </c>
      <c r="W10" s="42">
        <v>1</v>
      </c>
      <c r="X10" s="42">
        <v>1</v>
      </c>
      <c r="Y10" s="43">
        <f t="shared" si="11"/>
        <v>14.244897959183673</v>
      </c>
      <c r="Z10" s="44">
        <f t="shared" si="12"/>
        <v>12</v>
      </c>
      <c r="AB10" s="43">
        <f t="shared" si="13"/>
        <v>0</v>
      </c>
      <c r="AC10" s="45">
        <v>1</v>
      </c>
      <c r="AD10" s="45">
        <v>1</v>
      </c>
    </row>
    <row r="11" spans="1:30" ht="19" x14ac:dyDescent="0.2">
      <c r="A11" s="3">
        <v>8</v>
      </c>
      <c r="B11" s="4">
        <v>91000255</v>
      </c>
      <c r="C11" s="3" t="s">
        <v>13</v>
      </c>
      <c r="D11" s="5" t="s">
        <v>6</v>
      </c>
      <c r="E11" s="21">
        <v>141</v>
      </c>
      <c r="F11" s="24">
        <v>0</v>
      </c>
      <c r="G11" s="23">
        <v>3000</v>
      </c>
      <c r="H11" s="23"/>
      <c r="I11" s="23">
        <v>1000</v>
      </c>
      <c r="J11" s="23">
        <f t="shared" si="3"/>
        <v>2000</v>
      </c>
      <c r="K11" s="16">
        <f t="shared" si="4"/>
        <v>0</v>
      </c>
      <c r="L11" s="36">
        <v>3000</v>
      </c>
      <c r="M11" s="16">
        <f t="shared" si="0"/>
        <v>3000</v>
      </c>
      <c r="N11" s="16">
        <f t="shared" si="1"/>
        <v>1000</v>
      </c>
      <c r="O11" s="16">
        <f t="shared" si="2"/>
        <v>2000</v>
      </c>
      <c r="P11" s="16">
        <f t="shared" si="6"/>
        <v>3000</v>
      </c>
      <c r="Q11" s="16">
        <f t="shared" si="7"/>
        <v>83.333333333333329</v>
      </c>
      <c r="R11" s="46">
        <f t="shared" si="8"/>
        <v>5000</v>
      </c>
      <c r="S11" s="39">
        <f t="shared" si="9"/>
        <v>4000</v>
      </c>
      <c r="T11" s="2">
        <v>30000</v>
      </c>
      <c r="U11" s="42">
        <f t="shared" si="10"/>
        <v>30</v>
      </c>
      <c r="V11" s="42">
        <v>1</v>
      </c>
      <c r="W11" s="42">
        <v>1</v>
      </c>
      <c r="X11" s="42">
        <v>1</v>
      </c>
      <c r="Y11" s="43">
        <f t="shared" si="11"/>
        <v>0.75</v>
      </c>
      <c r="Z11" s="44">
        <f t="shared" si="12"/>
        <v>36</v>
      </c>
      <c r="AB11" s="43">
        <f t="shared" si="13"/>
        <v>0</v>
      </c>
      <c r="AC11" s="45">
        <v>1</v>
      </c>
      <c r="AD11" s="45">
        <v>1</v>
      </c>
    </row>
    <row r="12" spans="1:30" ht="19" x14ac:dyDescent="0.2">
      <c r="A12" s="3">
        <v>9</v>
      </c>
      <c r="B12" s="4">
        <v>92000139</v>
      </c>
      <c r="C12" s="3" t="s">
        <v>14</v>
      </c>
      <c r="D12" s="5" t="s">
        <v>6</v>
      </c>
      <c r="E12" s="26">
        <f>21642/100</f>
        <v>216.42</v>
      </c>
      <c r="F12" s="24">
        <v>0</v>
      </c>
      <c r="G12" s="23">
        <v>1000</v>
      </c>
      <c r="H12" s="23"/>
      <c r="I12" s="23">
        <v>1000</v>
      </c>
      <c r="J12" s="23">
        <f t="shared" si="3"/>
        <v>0</v>
      </c>
      <c r="K12" s="16">
        <f t="shared" si="4"/>
        <v>0</v>
      </c>
      <c r="L12" s="36">
        <v>1000</v>
      </c>
      <c r="M12" s="16">
        <f t="shared" si="0"/>
        <v>1000</v>
      </c>
      <c r="N12" s="16">
        <f t="shared" si="1"/>
        <v>1000</v>
      </c>
      <c r="O12" s="16">
        <f t="shared" si="2"/>
        <v>0</v>
      </c>
      <c r="P12" s="16">
        <f t="shared" si="6"/>
        <v>1000</v>
      </c>
      <c r="Q12" s="16">
        <f t="shared" si="7"/>
        <v>83.333333333333329</v>
      </c>
      <c r="R12" s="46">
        <f t="shared" si="8"/>
        <v>1000</v>
      </c>
      <c r="S12" s="39">
        <f t="shared" si="9"/>
        <v>1000</v>
      </c>
      <c r="T12" s="2">
        <v>500</v>
      </c>
      <c r="U12" s="42">
        <f t="shared" si="10"/>
        <v>0.5</v>
      </c>
      <c r="V12" s="42">
        <v>1</v>
      </c>
      <c r="W12" s="42">
        <v>1</v>
      </c>
      <c r="X12" s="42">
        <v>1</v>
      </c>
      <c r="Y12" s="43">
        <f t="shared" si="11"/>
        <v>1</v>
      </c>
      <c r="Z12" s="44">
        <f t="shared" si="12"/>
        <v>12</v>
      </c>
      <c r="AB12" s="43">
        <f t="shared" si="13"/>
        <v>0</v>
      </c>
      <c r="AC12" s="45">
        <v>1</v>
      </c>
      <c r="AD12" s="45">
        <v>1</v>
      </c>
    </row>
    <row r="13" spans="1:30" ht="19" x14ac:dyDescent="0.2">
      <c r="A13" s="3">
        <v>10</v>
      </c>
      <c r="B13" s="4">
        <v>92000403</v>
      </c>
      <c r="C13" s="3" t="s">
        <v>15</v>
      </c>
      <c r="D13" s="5" t="s">
        <v>16</v>
      </c>
      <c r="E13" s="21">
        <v>2109</v>
      </c>
      <c r="F13" s="24">
        <v>0</v>
      </c>
      <c r="G13" s="23">
        <v>120</v>
      </c>
      <c r="H13" s="23"/>
      <c r="I13" s="23">
        <v>120</v>
      </c>
      <c r="J13" s="23">
        <f t="shared" si="3"/>
        <v>0</v>
      </c>
      <c r="K13" s="16">
        <f t="shared" si="4"/>
        <v>0</v>
      </c>
      <c r="L13" s="36">
        <v>120</v>
      </c>
      <c r="M13" s="16">
        <f t="shared" si="0"/>
        <v>120</v>
      </c>
      <c r="N13" s="16">
        <f t="shared" si="1"/>
        <v>120</v>
      </c>
      <c r="O13" s="16">
        <f t="shared" si="2"/>
        <v>0</v>
      </c>
      <c r="P13" s="16">
        <f t="shared" si="6"/>
        <v>120</v>
      </c>
      <c r="Q13" s="16">
        <f t="shared" si="7"/>
        <v>10</v>
      </c>
      <c r="R13" s="46">
        <f t="shared" si="8"/>
        <v>120</v>
      </c>
      <c r="S13" s="39">
        <f t="shared" si="9"/>
        <v>120</v>
      </c>
      <c r="T13" s="2">
        <v>1500</v>
      </c>
      <c r="U13" s="42">
        <f t="shared" si="10"/>
        <v>12.5</v>
      </c>
      <c r="V13" s="42">
        <v>1</v>
      </c>
      <c r="W13" s="42">
        <v>1</v>
      </c>
      <c r="X13" s="42">
        <v>1</v>
      </c>
      <c r="Y13" s="43">
        <f t="shared" si="11"/>
        <v>1</v>
      </c>
      <c r="Z13" s="44">
        <f t="shared" si="12"/>
        <v>12</v>
      </c>
      <c r="AB13" s="43">
        <f t="shared" si="13"/>
        <v>0</v>
      </c>
      <c r="AC13" s="45">
        <v>1</v>
      </c>
      <c r="AD13" s="45">
        <v>1</v>
      </c>
    </row>
    <row r="14" spans="1:30" ht="19" x14ac:dyDescent="0.2">
      <c r="A14" s="3">
        <v>11</v>
      </c>
      <c r="B14" s="4">
        <v>92000517</v>
      </c>
      <c r="C14" s="4" t="s">
        <v>17</v>
      </c>
      <c r="D14" s="6" t="s">
        <v>6</v>
      </c>
      <c r="E14" s="25">
        <f>10156.5/100</f>
        <v>101.565</v>
      </c>
      <c r="F14" s="24">
        <v>0</v>
      </c>
      <c r="G14" s="23">
        <v>14400</v>
      </c>
      <c r="H14" s="23"/>
      <c r="I14" s="23">
        <v>14400</v>
      </c>
      <c r="J14" s="23">
        <f t="shared" si="3"/>
        <v>0</v>
      </c>
      <c r="K14" s="16">
        <f t="shared" si="4"/>
        <v>0</v>
      </c>
      <c r="L14" s="36">
        <v>14400</v>
      </c>
      <c r="M14" s="16">
        <f t="shared" si="0"/>
        <v>14400</v>
      </c>
      <c r="N14" s="16">
        <f t="shared" si="1"/>
        <v>14400</v>
      </c>
      <c r="O14" s="16">
        <f t="shared" si="2"/>
        <v>0</v>
      </c>
      <c r="P14" s="16">
        <f t="shared" si="6"/>
        <v>14400</v>
      </c>
      <c r="Q14" s="16">
        <f t="shared" si="7"/>
        <v>1200</v>
      </c>
      <c r="R14" s="46">
        <f t="shared" si="8"/>
        <v>14400</v>
      </c>
      <c r="S14" s="39">
        <f t="shared" si="9"/>
        <v>14400</v>
      </c>
      <c r="T14" s="2">
        <v>10000</v>
      </c>
      <c r="U14" s="42">
        <f t="shared" si="10"/>
        <v>0.69444444444444442</v>
      </c>
      <c r="V14" s="42">
        <v>1</v>
      </c>
      <c r="W14" s="42">
        <v>1</v>
      </c>
      <c r="X14" s="42">
        <v>1</v>
      </c>
      <c r="Y14" s="43">
        <f t="shared" si="11"/>
        <v>1</v>
      </c>
      <c r="Z14" s="44">
        <f t="shared" si="12"/>
        <v>12</v>
      </c>
      <c r="AB14" s="43">
        <f t="shared" si="13"/>
        <v>0</v>
      </c>
      <c r="AC14" s="45">
        <v>1</v>
      </c>
      <c r="AD14" s="45">
        <v>1</v>
      </c>
    </row>
    <row r="15" spans="1:30" ht="19" x14ac:dyDescent="0.2">
      <c r="A15" s="3">
        <v>12</v>
      </c>
      <c r="B15" s="4">
        <v>92000770</v>
      </c>
      <c r="C15" s="3" t="s">
        <v>18</v>
      </c>
      <c r="D15" s="5" t="s">
        <v>6</v>
      </c>
      <c r="E15" s="21">
        <v>580</v>
      </c>
      <c r="F15" s="24">
        <v>200</v>
      </c>
      <c r="G15" s="23">
        <v>100</v>
      </c>
      <c r="H15" s="23"/>
      <c r="I15" s="23">
        <v>300</v>
      </c>
      <c r="J15" s="23">
        <f t="shared" si="3"/>
        <v>0</v>
      </c>
      <c r="K15" s="16">
        <f t="shared" si="4"/>
        <v>200</v>
      </c>
      <c r="L15" s="36">
        <f t="shared" si="5"/>
        <v>200</v>
      </c>
      <c r="M15" s="16">
        <f t="shared" si="0"/>
        <v>100</v>
      </c>
      <c r="N15" s="16">
        <f t="shared" si="1"/>
        <v>300</v>
      </c>
      <c r="O15" s="16">
        <f t="shared" si="2"/>
        <v>0</v>
      </c>
      <c r="P15" s="16">
        <f t="shared" si="6"/>
        <v>300</v>
      </c>
      <c r="Q15" s="16">
        <f t="shared" si="7"/>
        <v>25</v>
      </c>
      <c r="R15" s="46">
        <f t="shared" si="8"/>
        <v>0</v>
      </c>
      <c r="S15" s="39">
        <f t="shared" si="9"/>
        <v>100</v>
      </c>
      <c r="T15" s="2">
        <v>200</v>
      </c>
      <c r="U15" s="42">
        <f t="shared" si="10"/>
        <v>0.66666666666666663</v>
      </c>
      <c r="V15" s="42">
        <v>1</v>
      </c>
      <c r="W15" s="42">
        <v>1</v>
      </c>
      <c r="X15" s="42">
        <v>1</v>
      </c>
      <c r="Y15" s="43">
        <f t="shared" si="11"/>
        <v>3</v>
      </c>
      <c r="Z15" s="44">
        <f t="shared" si="12"/>
        <v>12</v>
      </c>
      <c r="AB15" s="43">
        <f t="shared" si="13"/>
        <v>0</v>
      </c>
      <c r="AC15" s="45">
        <v>1</v>
      </c>
      <c r="AD15" s="45">
        <v>1</v>
      </c>
    </row>
    <row r="16" spans="1:30" ht="19" x14ac:dyDescent="0.2">
      <c r="A16" s="3">
        <v>13</v>
      </c>
      <c r="B16" s="4">
        <v>92000435</v>
      </c>
      <c r="C16" s="3" t="s">
        <v>19</v>
      </c>
      <c r="D16" s="5" t="s">
        <v>6</v>
      </c>
      <c r="E16" s="21">
        <v>22356</v>
      </c>
      <c r="F16" s="24">
        <v>0</v>
      </c>
      <c r="G16" s="23">
        <v>700</v>
      </c>
      <c r="H16" s="23"/>
      <c r="I16" s="23">
        <v>0</v>
      </c>
      <c r="J16" s="23">
        <f t="shared" si="3"/>
        <v>700</v>
      </c>
      <c r="K16" s="16">
        <f t="shared" si="4"/>
        <v>0</v>
      </c>
      <c r="L16" s="36">
        <v>700</v>
      </c>
      <c r="M16" s="16">
        <f t="shared" si="0"/>
        <v>700</v>
      </c>
      <c r="N16" s="16">
        <f t="shared" si="1"/>
        <v>0</v>
      </c>
      <c r="O16" s="16">
        <f t="shared" si="2"/>
        <v>700</v>
      </c>
      <c r="P16" s="16">
        <f t="shared" si="6"/>
        <v>700</v>
      </c>
      <c r="Q16" s="16">
        <f t="shared" si="7"/>
        <v>0</v>
      </c>
      <c r="R16" s="46">
        <f t="shared" si="8"/>
        <v>1400</v>
      </c>
      <c r="S16" s="39">
        <f t="shared" si="9"/>
        <v>1050</v>
      </c>
      <c r="T16" s="2">
        <v>0</v>
      </c>
      <c r="U16" s="42" t="e">
        <f t="shared" si="10"/>
        <v>#DIV/0!</v>
      </c>
      <c r="V16" s="42">
        <v>1</v>
      </c>
      <c r="W16" s="42">
        <v>1</v>
      </c>
      <c r="X16" s="42">
        <v>1</v>
      </c>
      <c r="Y16" s="43">
        <f t="shared" si="11"/>
        <v>0.66666666666666663</v>
      </c>
      <c r="Z16" s="44" t="e">
        <f t="shared" si="12"/>
        <v>#DIV/0!</v>
      </c>
      <c r="AA16" s="40">
        <v>1</v>
      </c>
      <c r="AB16" s="43">
        <f t="shared" si="13"/>
        <v>0</v>
      </c>
      <c r="AC16" s="45">
        <v>1</v>
      </c>
      <c r="AD16" s="45">
        <v>1</v>
      </c>
    </row>
    <row r="17" spans="1:30" ht="19" x14ac:dyDescent="0.2">
      <c r="A17" s="3">
        <v>14</v>
      </c>
      <c r="B17" s="4">
        <v>92000914</v>
      </c>
      <c r="C17" s="3" t="s">
        <v>20</v>
      </c>
      <c r="D17" s="5" t="s">
        <v>6</v>
      </c>
      <c r="E17" s="21">
        <v>449.11</v>
      </c>
      <c r="F17" s="24">
        <v>500</v>
      </c>
      <c r="G17" s="23"/>
      <c r="H17" s="23"/>
      <c r="I17" s="23">
        <v>100</v>
      </c>
      <c r="J17" s="23">
        <f t="shared" si="3"/>
        <v>400</v>
      </c>
      <c r="K17" s="16">
        <f t="shared" si="4"/>
        <v>500</v>
      </c>
      <c r="L17" s="36">
        <f t="shared" si="5"/>
        <v>500</v>
      </c>
      <c r="M17" s="16">
        <f t="shared" si="0"/>
        <v>0</v>
      </c>
      <c r="N17" s="16">
        <f t="shared" si="1"/>
        <v>100</v>
      </c>
      <c r="O17" s="16">
        <f t="shared" si="2"/>
        <v>400</v>
      </c>
      <c r="P17" s="16">
        <f t="shared" si="6"/>
        <v>500</v>
      </c>
      <c r="Q17" s="16">
        <f t="shared" si="7"/>
        <v>8.3333333333333339</v>
      </c>
      <c r="R17" s="46">
        <f t="shared" si="8"/>
        <v>400</v>
      </c>
      <c r="S17" s="39">
        <f t="shared" si="9"/>
        <v>450</v>
      </c>
      <c r="T17" s="2">
        <v>500</v>
      </c>
      <c r="U17" s="42">
        <f t="shared" si="10"/>
        <v>5</v>
      </c>
      <c r="V17" s="42">
        <v>1</v>
      </c>
      <c r="W17" s="42">
        <v>1</v>
      </c>
      <c r="X17" s="42">
        <v>1</v>
      </c>
      <c r="Y17" s="43">
        <f t="shared" si="11"/>
        <v>1.1111111111111112</v>
      </c>
      <c r="Z17" s="44">
        <f t="shared" si="12"/>
        <v>59.999999999999993</v>
      </c>
      <c r="AB17" s="43">
        <f t="shared" si="13"/>
        <v>0</v>
      </c>
      <c r="AC17" s="45">
        <v>1</v>
      </c>
      <c r="AD17" s="45">
        <v>1</v>
      </c>
    </row>
    <row r="18" spans="1:30" ht="19" x14ac:dyDescent="0.2">
      <c r="A18" s="3">
        <v>15</v>
      </c>
      <c r="B18" s="4">
        <v>92000634</v>
      </c>
      <c r="C18" s="10" t="s">
        <v>21</v>
      </c>
      <c r="D18" s="6" t="s">
        <v>22</v>
      </c>
      <c r="E18" s="25">
        <v>1893</v>
      </c>
      <c r="F18" s="24">
        <v>23</v>
      </c>
      <c r="G18" s="23">
        <v>17</v>
      </c>
      <c r="H18" s="23"/>
      <c r="I18" s="23">
        <v>28</v>
      </c>
      <c r="J18" s="23">
        <f t="shared" si="3"/>
        <v>12</v>
      </c>
      <c r="K18" s="16">
        <f t="shared" si="4"/>
        <v>23</v>
      </c>
      <c r="L18" s="36">
        <f t="shared" si="5"/>
        <v>23</v>
      </c>
      <c r="M18" s="16">
        <f t="shared" si="0"/>
        <v>17</v>
      </c>
      <c r="N18" s="16">
        <f t="shared" si="1"/>
        <v>28</v>
      </c>
      <c r="O18" s="16">
        <f t="shared" si="2"/>
        <v>12</v>
      </c>
      <c r="P18" s="16">
        <f t="shared" si="6"/>
        <v>40</v>
      </c>
      <c r="Q18" s="16">
        <f t="shared" si="7"/>
        <v>2.3333333333333335</v>
      </c>
      <c r="R18" s="46">
        <f t="shared" si="8"/>
        <v>12</v>
      </c>
      <c r="S18" s="39">
        <f t="shared" si="9"/>
        <v>17.5</v>
      </c>
      <c r="T18" s="2">
        <v>0</v>
      </c>
      <c r="U18" s="42">
        <f t="shared" si="10"/>
        <v>0</v>
      </c>
      <c r="V18" s="42">
        <v>1</v>
      </c>
      <c r="W18" s="42">
        <v>1</v>
      </c>
      <c r="X18" s="42">
        <v>1</v>
      </c>
      <c r="Y18" s="43">
        <f t="shared" si="11"/>
        <v>2.2857142857142856</v>
      </c>
      <c r="Z18" s="44">
        <f t="shared" si="12"/>
        <v>17.142857142857142</v>
      </c>
      <c r="AA18" s="40">
        <v>1</v>
      </c>
      <c r="AB18" s="43">
        <f t="shared" si="13"/>
        <v>0</v>
      </c>
      <c r="AC18" s="45">
        <v>1</v>
      </c>
      <c r="AD18" s="45">
        <v>1</v>
      </c>
    </row>
    <row r="19" spans="1:30" ht="19" x14ac:dyDescent="0.2">
      <c r="A19" s="3">
        <v>16</v>
      </c>
      <c r="B19" s="4"/>
      <c r="C19" s="3" t="s">
        <v>56</v>
      </c>
      <c r="D19" s="5" t="s">
        <v>22</v>
      </c>
      <c r="E19" s="21">
        <v>1595</v>
      </c>
      <c r="F19" s="24">
        <v>90</v>
      </c>
      <c r="G19" s="23">
        <v>120</v>
      </c>
      <c r="H19" s="23"/>
      <c r="I19" s="23">
        <v>210</v>
      </c>
      <c r="J19" s="23">
        <f t="shared" si="3"/>
        <v>0</v>
      </c>
      <c r="K19" s="16">
        <f t="shared" si="4"/>
        <v>90</v>
      </c>
      <c r="L19" s="36">
        <f t="shared" si="5"/>
        <v>90</v>
      </c>
      <c r="M19" s="16">
        <f t="shared" si="0"/>
        <v>120</v>
      </c>
      <c r="N19" s="16">
        <f t="shared" si="1"/>
        <v>210</v>
      </c>
      <c r="O19" s="16">
        <f t="shared" si="2"/>
        <v>0</v>
      </c>
      <c r="P19" s="16">
        <f t="shared" si="6"/>
        <v>210</v>
      </c>
      <c r="Q19" s="16">
        <f t="shared" si="7"/>
        <v>17.5</v>
      </c>
      <c r="R19" s="46">
        <f t="shared" si="8"/>
        <v>0</v>
      </c>
      <c r="S19" s="39">
        <f t="shared" si="9"/>
        <v>45</v>
      </c>
      <c r="T19" s="2">
        <v>100</v>
      </c>
      <c r="U19" s="42">
        <f t="shared" si="10"/>
        <v>0.47619047619047616</v>
      </c>
      <c r="V19" s="42">
        <v>1</v>
      </c>
      <c r="W19" s="42">
        <v>1</v>
      </c>
      <c r="X19" s="42">
        <v>1</v>
      </c>
      <c r="Y19" s="43">
        <f t="shared" si="11"/>
        <v>4.666666666666667</v>
      </c>
      <c r="Z19" s="44">
        <f t="shared" si="12"/>
        <v>12</v>
      </c>
      <c r="AB19" s="43">
        <f t="shared" si="13"/>
        <v>0</v>
      </c>
      <c r="AC19" s="45">
        <v>1</v>
      </c>
      <c r="AD19" s="45">
        <v>1</v>
      </c>
    </row>
    <row r="20" spans="1:30" ht="19" x14ac:dyDescent="0.2">
      <c r="A20" s="3">
        <v>17</v>
      </c>
      <c r="B20" s="4">
        <v>92002848</v>
      </c>
      <c r="C20" s="3" t="s">
        <v>23</v>
      </c>
      <c r="D20" s="5" t="s">
        <v>24</v>
      </c>
      <c r="E20" s="28">
        <v>456.06</v>
      </c>
      <c r="F20" s="24">
        <v>600</v>
      </c>
      <c r="G20" s="23">
        <v>1300</v>
      </c>
      <c r="H20" s="23"/>
      <c r="I20" s="23">
        <v>1810</v>
      </c>
      <c r="J20" s="23">
        <f t="shared" si="3"/>
        <v>90</v>
      </c>
      <c r="K20" s="16">
        <f t="shared" si="4"/>
        <v>600</v>
      </c>
      <c r="L20" s="36">
        <f t="shared" si="5"/>
        <v>600</v>
      </c>
      <c r="M20" s="16">
        <f t="shared" si="0"/>
        <v>1300</v>
      </c>
      <c r="N20" s="16">
        <f t="shared" si="1"/>
        <v>1810</v>
      </c>
      <c r="O20" s="16">
        <f t="shared" si="2"/>
        <v>90</v>
      </c>
      <c r="P20" s="16">
        <f t="shared" si="6"/>
        <v>1900</v>
      </c>
      <c r="Q20" s="16">
        <f t="shared" si="7"/>
        <v>150.83333333333334</v>
      </c>
      <c r="R20" s="46">
        <f t="shared" si="8"/>
        <v>90</v>
      </c>
      <c r="S20" s="39">
        <f t="shared" si="9"/>
        <v>345</v>
      </c>
      <c r="T20" s="2">
        <v>10000</v>
      </c>
      <c r="U20" s="42">
        <f t="shared" si="10"/>
        <v>5.5248618784530388</v>
      </c>
      <c r="V20" s="42">
        <v>1</v>
      </c>
      <c r="W20" s="42">
        <v>1</v>
      </c>
      <c r="X20" s="42">
        <v>1</v>
      </c>
      <c r="Y20" s="43">
        <f t="shared" si="11"/>
        <v>5.5072463768115938</v>
      </c>
      <c r="Z20" s="44">
        <f t="shared" si="12"/>
        <v>12.596685082872927</v>
      </c>
      <c r="AB20" s="43">
        <f t="shared" si="13"/>
        <v>0</v>
      </c>
      <c r="AC20" s="45">
        <v>1</v>
      </c>
      <c r="AD20" s="45">
        <v>1</v>
      </c>
    </row>
    <row r="21" spans="1:30" ht="19" x14ac:dyDescent="0.2">
      <c r="A21" s="3">
        <v>18</v>
      </c>
      <c r="B21" s="4">
        <v>92000163</v>
      </c>
      <c r="C21" s="3" t="s">
        <v>25</v>
      </c>
      <c r="D21" s="5" t="s">
        <v>6</v>
      </c>
      <c r="E21" s="27">
        <v>408</v>
      </c>
      <c r="F21" s="24">
        <v>100</v>
      </c>
      <c r="G21" s="23"/>
      <c r="H21" s="23"/>
      <c r="I21" s="23">
        <v>100</v>
      </c>
      <c r="J21" s="23">
        <f t="shared" si="3"/>
        <v>0</v>
      </c>
      <c r="K21" s="16">
        <f t="shared" si="4"/>
        <v>100</v>
      </c>
      <c r="L21" s="36">
        <f t="shared" si="5"/>
        <v>100</v>
      </c>
      <c r="M21" s="16">
        <f t="shared" si="0"/>
        <v>0</v>
      </c>
      <c r="N21" s="16">
        <f t="shared" si="1"/>
        <v>100</v>
      </c>
      <c r="O21" s="16">
        <f t="shared" si="2"/>
        <v>0</v>
      </c>
      <c r="P21" s="16">
        <f t="shared" si="6"/>
        <v>100</v>
      </c>
      <c r="Q21" s="16">
        <f t="shared" si="7"/>
        <v>8.3333333333333339</v>
      </c>
      <c r="R21" s="46">
        <f t="shared" si="8"/>
        <v>0</v>
      </c>
      <c r="S21" s="39">
        <f t="shared" si="9"/>
        <v>50</v>
      </c>
      <c r="T21" s="2">
        <v>3000</v>
      </c>
      <c r="U21" s="42">
        <f t="shared" si="10"/>
        <v>30</v>
      </c>
      <c r="V21" s="42">
        <v>1</v>
      </c>
      <c r="W21" s="42">
        <v>1</v>
      </c>
      <c r="X21" s="42">
        <v>1</v>
      </c>
      <c r="Y21" s="43">
        <f t="shared" si="11"/>
        <v>2</v>
      </c>
      <c r="Z21" s="44">
        <f t="shared" si="12"/>
        <v>12</v>
      </c>
      <c r="AB21" s="43">
        <f t="shared" si="13"/>
        <v>0</v>
      </c>
      <c r="AC21" s="45">
        <v>1</v>
      </c>
      <c r="AD21" s="45">
        <v>1</v>
      </c>
    </row>
    <row r="22" spans="1:30" ht="19" x14ac:dyDescent="0.2">
      <c r="A22" s="3">
        <v>19</v>
      </c>
      <c r="B22" s="4">
        <v>92000445</v>
      </c>
      <c r="C22" s="3" t="s">
        <v>26</v>
      </c>
      <c r="D22" s="5" t="s">
        <v>6</v>
      </c>
      <c r="E22" s="21">
        <v>54</v>
      </c>
      <c r="F22" s="24">
        <v>500</v>
      </c>
      <c r="G22" s="23"/>
      <c r="H22" s="23"/>
      <c r="I22" s="23">
        <v>0</v>
      </c>
      <c r="J22" s="23">
        <f t="shared" si="3"/>
        <v>500</v>
      </c>
      <c r="K22" s="16">
        <f t="shared" si="4"/>
        <v>500</v>
      </c>
      <c r="L22" s="36">
        <f t="shared" si="5"/>
        <v>500</v>
      </c>
      <c r="M22" s="16">
        <f t="shared" si="0"/>
        <v>0</v>
      </c>
      <c r="N22" s="16">
        <f t="shared" si="1"/>
        <v>0</v>
      </c>
      <c r="O22" s="16">
        <f t="shared" si="2"/>
        <v>500</v>
      </c>
      <c r="P22" s="16">
        <f t="shared" si="6"/>
        <v>500</v>
      </c>
      <c r="Q22" s="16">
        <f t="shared" si="7"/>
        <v>0</v>
      </c>
      <c r="R22" s="46">
        <f t="shared" si="8"/>
        <v>500</v>
      </c>
      <c r="S22" s="39">
        <f t="shared" si="9"/>
        <v>500</v>
      </c>
      <c r="T22" s="2">
        <v>0</v>
      </c>
      <c r="U22" s="42" t="e">
        <f t="shared" si="10"/>
        <v>#DIV/0!</v>
      </c>
      <c r="V22" s="42">
        <v>1</v>
      </c>
      <c r="W22" s="42">
        <v>1</v>
      </c>
      <c r="X22" s="42">
        <v>1</v>
      </c>
      <c r="Y22" s="43">
        <f t="shared" si="11"/>
        <v>1</v>
      </c>
      <c r="Z22" s="44" t="e">
        <f t="shared" si="12"/>
        <v>#DIV/0!</v>
      </c>
      <c r="AA22" s="40">
        <v>1</v>
      </c>
      <c r="AB22" s="43">
        <f t="shared" si="13"/>
        <v>0</v>
      </c>
      <c r="AC22" s="45">
        <v>1</v>
      </c>
      <c r="AD22" s="45">
        <v>1</v>
      </c>
    </row>
    <row r="23" spans="1:30" ht="19" x14ac:dyDescent="0.2">
      <c r="A23" s="3">
        <v>20</v>
      </c>
      <c r="B23" s="4"/>
      <c r="C23" s="4" t="s">
        <v>51</v>
      </c>
      <c r="D23" s="6" t="s">
        <v>6</v>
      </c>
      <c r="E23" s="25">
        <v>177</v>
      </c>
      <c r="F23" s="24">
        <v>0</v>
      </c>
      <c r="G23" s="23">
        <v>3000</v>
      </c>
      <c r="H23" s="23"/>
      <c r="I23" s="23">
        <v>3000</v>
      </c>
      <c r="J23" s="23">
        <f t="shared" si="3"/>
        <v>0</v>
      </c>
      <c r="K23" s="16">
        <f t="shared" si="4"/>
        <v>0</v>
      </c>
      <c r="L23" s="36">
        <v>3000</v>
      </c>
      <c r="M23" s="16">
        <f t="shared" si="0"/>
        <v>3000</v>
      </c>
      <c r="N23" s="16">
        <f t="shared" si="1"/>
        <v>3000</v>
      </c>
      <c r="O23" s="16">
        <f t="shared" si="2"/>
        <v>0</v>
      </c>
      <c r="P23" s="16">
        <f t="shared" si="6"/>
        <v>3000</v>
      </c>
      <c r="Q23" s="16">
        <f t="shared" si="7"/>
        <v>250</v>
      </c>
      <c r="R23" s="46">
        <f t="shared" si="8"/>
        <v>3000</v>
      </c>
      <c r="S23" s="39">
        <f t="shared" si="9"/>
        <v>3000</v>
      </c>
      <c r="T23" s="2">
        <v>10000</v>
      </c>
      <c r="U23" s="42">
        <f t="shared" si="10"/>
        <v>3.3333333333333335</v>
      </c>
      <c r="V23" s="42">
        <v>1</v>
      </c>
      <c r="W23" s="42">
        <v>1</v>
      </c>
      <c r="X23" s="42">
        <v>1</v>
      </c>
      <c r="Y23" s="43">
        <f t="shared" si="11"/>
        <v>1</v>
      </c>
      <c r="Z23" s="44">
        <f t="shared" si="12"/>
        <v>12</v>
      </c>
      <c r="AB23" s="43">
        <f t="shared" si="13"/>
        <v>0</v>
      </c>
      <c r="AC23" s="45">
        <v>1</v>
      </c>
      <c r="AD23" s="45">
        <v>1</v>
      </c>
    </row>
    <row r="24" spans="1:30" ht="19" x14ac:dyDescent="0.2">
      <c r="A24" s="3">
        <v>21</v>
      </c>
      <c r="B24" s="4">
        <v>92001124</v>
      </c>
      <c r="C24" s="4" t="s">
        <v>27</v>
      </c>
      <c r="D24" s="6" t="s">
        <v>6</v>
      </c>
      <c r="E24" s="27">
        <v>162</v>
      </c>
      <c r="F24" s="24">
        <v>2000</v>
      </c>
      <c r="G24" s="23"/>
      <c r="H24" s="23"/>
      <c r="I24" s="23">
        <v>2000</v>
      </c>
      <c r="J24" s="23">
        <f t="shared" si="3"/>
        <v>0</v>
      </c>
      <c r="K24" s="16">
        <f t="shared" si="4"/>
        <v>2000</v>
      </c>
      <c r="L24" s="36">
        <f t="shared" si="5"/>
        <v>2000</v>
      </c>
      <c r="M24" s="16">
        <f t="shared" si="0"/>
        <v>0</v>
      </c>
      <c r="N24" s="16">
        <f t="shared" si="1"/>
        <v>2000</v>
      </c>
      <c r="O24" s="16">
        <f t="shared" si="2"/>
        <v>0</v>
      </c>
      <c r="P24" s="16">
        <f t="shared" si="6"/>
        <v>2000</v>
      </c>
      <c r="Q24" s="16">
        <f t="shared" si="7"/>
        <v>166.66666666666666</v>
      </c>
      <c r="R24" s="46">
        <f t="shared" si="8"/>
        <v>0</v>
      </c>
      <c r="S24" s="39">
        <f t="shared" si="9"/>
        <v>1000</v>
      </c>
      <c r="T24" s="2">
        <v>15000</v>
      </c>
      <c r="U24" s="42">
        <f t="shared" si="10"/>
        <v>7.5</v>
      </c>
      <c r="V24" s="42">
        <v>1</v>
      </c>
      <c r="W24" s="42">
        <v>1</v>
      </c>
      <c r="X24" s="42">
        <v>1</v>
      </c>
      <c r="Y24" s="43">
        <f t="shared" si="11"/>
        <v>2</v>
      </c>
      <c r="Z24" s="44">
        <f t="shared" si="12"/>
        <v>12</v>
      </c>
      <c r="AB24" s="43">
        <f t="shared" si="13"/>
        <v>0</v>
      </c>
      <c r="AC24" s="45">
        <v>1</v>
      </c>
      <c r="AD24" s="45">
        <v>1</v>
      </c>
    </row>
    <row r="25" spans="1:30" ht="19" x14ac:dyDescent="0.2">
      <c r="A25" s="3">
        <v>22</v>
      </c>
      <c r="B25" s="4"/>
      <c r="C25" s="4" t="s">
        <v>28</v>
      </c>
      <c r="D25" s="6"/>
      <c r="E25" s="27">
        <v>149</v>
      </c>
      <c r="F25" s="24">
        <v>400</v>
      </c>
      <c r="G25" s="23"/>
      <c r="H25" s="23"/>
      <c r="I25" s="23">
        <v>400</v>
      </c>
      <c r="J25" s="23">
        <f t="shared" si="3"/>
        <v>0</v>
      </c>
      <c r="K25" s="16">
        <f t="shared" si="4"/>
        <v>400</v>
      </c>
      <c r="L25" s="36">
        <f t="shared" si="5"/>
        <v>400</v>
      </c>
      <c r="M25" s="16">
        <f t="shared" si="0"/>
        <v>0</v>
      </c>
      <c r="N25" s="16">
        <f t="shared" si="1"/>
        <v>400</v>
      </c>
      <c r="O25" s="16">
        <f t="shared" si="2"/>
        <v>0</v>
      </c>
      <c r="P25" s="16">
        <f t="shared" si="6"/>
        <v>400</v>
      </c>
      <c r="Q25" s="16">
        <f t="shared" si="7"/>
        <v>33.333333333333336</v>
      </c>
      <c r="R25" s="46">
        <f t="shared" si="8"/>
        <v>0</v>
      </c>
      <c r="S25" s="39">
        <f t="shared" si="9"/>
        <v>200</v>
      </c>
      <c r="T25" s="2">
        <v>8000</v>
      </c>
      <c r="U25" s="42">
        <f t="shared" si="10"/>
        <v>20</v>
      </c>
      <c r="V25" s="42">
        <v>1</v>
      </c>
      <c r="W25" s="42">
        <v>1</v>
      </c>
      <c r="X25" s="42">
        <v>1</v>
      </c>
      <c r="Y25" s="43">
        <f t="shared" si="11"/>
        <v>2</v>
      </c>
      <c r="Z25" s="44">
        <f t="shared" si="12"/>
        <v>12</v>
      </c>
      <c r="AB25" s="43">
        <f t="shared" si="13"/>
        <v>0</v>
      </c>
      <c r="AC25" s="45">
        <v>1</v>
      </c>
      <c r="AD25" s="45">
        <v>1</v>
      </c>
    </row>
    <row r="26" spans="1:30" ht="19" x14ac:dyDescent="0.2">
      <c r="A26" s="3">
        <v>23</v>
      </c>
      <c r="B26" s="4">
        <v>92000572</v>
      </c>
      <c r="C26" s="3" t="s">
        <v>29</v>
      </c>
      <c r="D26" s="5" t="s">
        <v>16</v>
      </c>
      <c r="E26" s="29">
        <v>1763.9</v>
      </c>
      <c r="F26" s="24">
        <v>200</v>
      </c>
      <c r="G26" s="23">
        <v>245</v>
      </c>
      <c r="H26" s="23"/>
      <c r="I26" s="23">
        <v>445</v>
      </c>
      <c r="J26" s="23">
        <f t="shared" si="3"/>
        <v>0</v>
      </c>
      <c r="K26" s="16">
        <f t="shared" si="4"/>
        <v>200</v>
      </c>
      <c r="L26" s="36">
        <f t="shared" si="5"/>
        <v>200</v>
      </c>
      <c r="M26" s="16">
        <f t="shared" si="0"/>
        <v>245</v>
      </c>
      <c r="N26" s="16">
        <f t="shared" si="1"/>
        <v>445</v>
      </c>
      <c r="O26" s="16">
        <f t="shared" si="2"/>
        <v>0</v>
      </c>
      <c r="P26" s="16">
        <f t="shared" si="6"/>
        <v>445</v>
      </c>
      <c r="Q26" s="16">
        <f t="shared" si="7"/>
        <v>37.083333333333336</v>
      </c>
      <c r="R26" s="46">
        <f t="shared" si="8"/>
        <v>0</v>
      </c>
      <c r="S26" s="39">
        <f t="shared" si="9"/>
        <v>100</v>
      </c>
      <c r="T26" s="2">
        <v>3500</v>
      </c>
      <c r="U26" s="42">
        <f t="shared" si="10"/>
        <v>7.8651685393258424</v>
      </c>
      <c r="V26" s="42">
        <v>1</v>
      </c>
      <c r="W26" s="42">
        <v>1</v>
      </c>
      <c r="X26" s="42">
        <v>1</v>
      </c>
      <c r="Y26" s="43">
        <f t="shared" si="11"/>
        <v>4.45</v>
      </c>
      <c r="Z26" s="44">
        <f t="shared" si="12"/>
        <v>12</v>
      </c>
      <c r="AB26" s="43">
        <f t="shared" si="13"/>
        <v>0</v>
      </c>
      <c r="AC26" s="45">
        <v>1</v>
      </c>
      <c r="AD26" s="45">
        <v>1</v>
      </c>
    </row>
    <row r="27" spans="1:30" ht="19" x14ac:dyDescent="0.2">
      <c r="A27" s="3">
        <v>24</v>
      </c>
      <c r="B27" s="4">
        <v>92000706</v>
      </c>
      <c r="C27" s="3" t="s">
        <v>30</v>
      </c>
      <c r="D27" s="5" t="s">
        <v>6</v>
      </c>
      <c r="E27" s="21">
        <v>250</v>
      </c>
      <c r="F27" s="23">
        <v>0</v>
      </c>
      <c r="G27" s="23">
        <v>2000</v>
      </c>
      <c r="H27" s="23"/>
      <c r="I27" s="23">
        <v>2000</v>
      </c>
      <c r="J27" s="23">
        <f t="shared" si="3"/>
        <v>0</v>
      </c>
      <c r="K27" s="16">
        <f t="shared" si="4"/>
        <v>0</v>
      </c>
      <c r="L27" s="36">
        <v>2000</v>
      </c>
      <c r="M27" s="16">
        <f t="shared" si="0"/>
        <v>2000</v>
      </c>
      <c r="N27" s="16">
        <f t="shared" si="1"/>
        <v>2000</v>
      </c>
      <c r="O27" s="16">
        <f t="shared" si="2"/>
        <v>0</v>
      </c>
      <c r="P27" s="16">
        <f t="shared" si="6"/>
        <v>2000</v>
      </c>
      <c r="Q27" s="16">
        <f t="shared" si="7"/>
        <v>166.66666666666666</v>
      </c>
      <c r="R27" s="46">
        <f t="shared" si="8"/>
        <v>2000</v>
      </c>
      <c r="S27" s="39">
        <f t="shared" si="9"/>
        <v>2000</v>
      </c>
      <c r="T27" s="2">
        <v>15000</v>
      </c>
      <c r="U27" s="42">
        <f t="shared" si="10"/>
        <v>7.5</v>
      </c>
      <c r="V27" s="42">
        <v>1</v>
      </c>
      <c r="W27" s="42">
        <v>1</v>
      </c>
      <c r="X27" s="42">
        <v>1</v>
      </c>
      <c r="Y27" s="43">
        <f t="shared" si="11"/>
        <v>1</v>
      </c>
      <c r="Z27" s="44">
        <f t="shared" si="12"/>
        <v>12</v>
      </c>
      <c r="AB27" s="43">
        <f t="shared" si="13"/>
        <v>0</v>
      </c>
      <c r="AC27" s="45">
        <v>1</v>
      </c>
      <c r="AD27" s="45">
        <v>1</v>
      </c>
    </row>
    <row r="28" spans="1:30" ht="19" x14ac:dyDescent="0.2">
      <c r="A28" s="3">
        <v>25</v>
      </c>
      <c r="B28" s="4">
        <v>92001386</v>
      </c>
      <c r="C28" s="4" t="s">
        <v>31</v>
      </c>
      <c r="D28" s="6" t="s">
        <v>6</v>
      </c>
      <c r="E28" s="27">
        <v>141</v>
      </c>
      <c r="F28" s="24">
        <v>300</v>
      </c>
      <c r="G28" s="23"/>
      <c r="H28" s="23"/>
      <c r="I28" s="23">
        <v>300</v>
      </c>
      <c r="J28" s="23">
        <f t="shared" si="3"/>
        <v>0</v>
      </c>
      <c r="K28" s="16">
        <f t="shared" si="4"/>
        <v>300</v>
      </c>
      <c r="L28" s="36">
        <f t="shared" si="5"/>
        <v>300</v>
      </c>
      <c r="M28" s="16">
        <f t="shared" si="0"/>
        <v>0</v>
      </c>
      <c r="N28" s="16">
        <f t="shared" si="1"/>
        <v>300</v>
      </c>
      <c r="O28" s="16">
        <f t="shared" si="2"/>
        <v>0</v>
      </c>
      <c r="P28" s="16">
        <f t="shared" si="6"/>
        <v>300</v>
      </c>
      <c r="Q28" s="16">
        <f t="shared" si="7"/>
        <v>25</v>
      </c>
      <c r="R28" s="46">
        <f t="shared" si="8"/>
        <v>0</v>
      </c>
      <c r="S28" s="39">
        <f t="shared" si="9"/>
        <v>150</v>
      </c>
      <c r="T28" s="2">
        <v>0</v>
      </c>
      <c r="U28" s="42">
        <f t="shared" si="10"/>
        <v>0</v>
      </c>
      <c r="V28" s="42">
        <v>1</v>
      </c>
      <c r="W28" s="42">
        <v>1</v>
      </c>
      <c r="X28" s="42">
        <v>1</v>
      </c>
      <c r="Y28" s="43">
        <f t="shared" si="11"/>
        <v>2</v>
      </c>
      <c r="Z28" s="44">
        <f t="shared" si="12"/>
        <v>12</v>
      </c>
      <c r="AB28" s="43">
        <f t="shared" si="13"/>
        <v>0</v>
      </c>
      <c r="AC28" s="45">
        <v>1</v>
      </c>
      <c r="AD28" s="45">
        <v>1</v>
      </c>
    </row>
    <row r="29" spans="1:30" ht="19" x14ac:dyDescent="0.2">
      <c r="A29" s="3">
        <v>26</v>
      </c>
      <c r="B29" s="4">
        <v>92000986</v>
      </c>
      <c r="C29" s="4" t="s">
        <v>32</v>
      </c>
      <c r="D29" s="6" t="s">
        <v>22</v>
      </c>
      <c r="E29" s="27">
        <v>1458</v>
      </c>
      <c r="F29" s="24">
        <v>25</v>
      </c>
      <c r="G29" s="23"/>
      <c r="H29" s="23"/>
      <c r="I29" s="23">
        <v>25</v>
      </c>
      <c r="J29" s="23">
        <f t="shared" si="3"/>
        <v>0</v>
      </c>
      <c r="K29" s="16">
        <f t="shared" si="4"/>
        <v>25</v>
      </c>
      <c r="L29" s="36">
        <f t="shared" si="5"/>
        <v>25</v>
      </c>
      <c r="M29" s="16">
        <f t="shared" si="0"/>
        <v>0</v>
      </c>
      <c r="N29" s="16">
        <f t="shared" si="1"/>
        <v>25</v>
      </c>
      <c r="O29" s="16">
        <f t="shared" si="2"/>
        <v>0</v>
      </c>
      <c r="P29" s="16">
        <f t="shared" si="6"/>
        <v>25</v>
      </c>
      <c r="Q29" s="16">
        <f t="shared" si="7"/>
        <v>2.0833333333333335</v>
      </c>
      <c r="R29" s="46">
        <f t="shared" si="8"/>
        <v>0</v>
      </c>
      <c r="S29" s="39">
        <f t="shared" si="9"/>
        <v>12.5</v>
      </c>
      <c r="T29" s="2">
        <v>100</v>
      </c>
      <c r="U29" s="42">
        <f t="shared" si="10"/>
        <v>4</v>
      </c>
      <c r="V29" s="42">
        <v>1</v>
      </c>
      <c r="W29" s="42">
        <v>1</v>
      </c>
      <c r="X29" s="42">
        <v>1</v>
      </c>
      <c r="Y29" s="43">
        <f t="shared" si="11"/>
        <v>2</v>
      </c>
      <c r="Z29" s="44">
        <f t="shared" si="12"/>
        <v>12</v>
      </c>
      <c r="AB29" s="43">
        <f t="shared" si="13"/>
        <v>0</v>
      </c>
      <c r="AC29" s="45">
        <v>1</v>
      </c>
      <c r="AD29" s="45">
        <v>1</v>
      </c>
    </row>
    <row r="30" spans="1:30" ht="19" x14ac:dyDescent="0.2">
      <c r="A30" s="3">
        <v>27</v>
      </c>
      <c r="B30" s="4">
        <v>92000209</v>
      </c>
      <c r="C30" s="4" t="s">
        <v>33</v>
      </c>
      <c r="D30" s="6" t="s">
        <v>6</v>
      </c>
      <c r="E30" s="28">
        <v>102.92</v>
      </c>
      <c r="F30" s="24">
        <v>5000</v>
      </c>
      <c r="G30" s="23">
        <v>5000</v>
      </c>
      <c r="H30" s="23"/>
      <c r="I30" s="23">
        <v>10000</v>
      </c>
      <c r="J30" s="23">
        <f t="shared" si="3"/>
        <v>0</v>
      </c>
      <c r="K30" s="16">
        <f t="shared" si="4"/>
        <v>5000</v>
      </c>
      <c r="L30" s="36">
        <f t="shared" si="5"/>
        <v>5000</v>
      </c>
      <c r="M30" s="16">
        <f t="shared" si="0"/>
        <v>5000</v>
      </c>
      <c r="N30" s="16">
        <f t="shared" si="1"/>
        <v>10000</v>
      </c>
      <c r="O30" s="16">
        <f t="shared" si="2"/>
        <v>0</v>
      </c>
      <c r="P30" s="16">
        <f t="shared" si="6"/>
        <v>10000</v>
      </c>
      <c r="Q30" s="16">
        <f t="shared" si="7"/>
        <v>833.33333333333337</v>
      </c>
      <c r="R30" s="46">
        <f t="shared" si="8"/>
        <v>0</v>
      </c>
      <c r="S30" s="39">
        <f t="shared" si="9"/>
        <v>2500</v>
      </c>
      <c r="T30" s="2">
        <v>5000</v>
      </c>
      <c r="U30" s="42">
        <f t="shared" si="10"/>
        <v>0.5</v>
      </c>
      <c r="V30" s="42">
        <v>1</v>
      </c>
      <c r="W30" s="42">
        <v>1</v>
      </c>
      <c r="X30" s="42">
        <v>1</v>
      </c>
      <c r="Y30" s="43">
        <f t="shared" si="11"/>
        <v>4</v>
      </c>
      <c r="Z30" s="44">
        <f t="shared" si="12"/>
        <v>12</v>
      </c>
      <c r="AB30" s="43">
        <f t="shared" si="13"/>
        <v>0</v>
      </c>
      <c r="AC30" s="45">
        <v>1</v>
      </c>
      <c r="AD30" s="45">
        <v>1</v>
      </c>
    </row>
    <row r="31" spans="1:30" ht="19" x14ac:dyDescent="0.2">
      <c r="A31" s="3">
        <v>28</v>
      </c>
      <c r="B31" s="4"/>
      <c r="C31" s="4" t="s">
        <v>34</v>
      </c>
      <c r="D31" s="6" t="s">
        <v>6</v>
      </c>
      <c r="E31" s="27">
        <v>165</v>
      </c>
      <c r="F31" s="24">
        <v>2000</v>
      </c>
      <c r="G31" s="23">
        <v>1500</v>
      </c>
      <c r="H31" s="23"/>
      <c r="I31" s="23">
        <v>3500</v>
      </c>
      <c r="J31" s="23">
        <f t="shared" si="3"/>
        <v>0</v>
      </c>
      <c r="K31" s="16">
        <f t="shared" si="4"/>
        <v>2000</v>
      </c>
      <c r="L31" s="36">
        <f t="shared" si="5"/>
        <v>2000</v>
      </c>
      <c r="M31" s="16">
        <f t="shared" si="0"/>
        <v>1500</v>
      </c>
      <c r="N31" s="16">
        <f t="shared" si="1"/>
        <v>3500</v>
      </c>
      <c r="O31" s="16">
        <f t="shared" si="2"/>
        <v>0</v>
      </c>
      <c r="P31" s="16">
        <f t="shared" si="6"/>
        <v>3500</v>
      </c>
      <c r="Q31" s="16">
        <f t="shared" si="7"/>
        <v>291.66666666666669</v>
      </c>
      <c r="R31" s="46">
        <f t="shared" si="8"/>
        <v>0</v>
      </c>
      <c r="S31" s="39">
        <f t="shared" si="9"/>
        <v>1000</v>
      </c>
      <c r="T31" s="2">
        <v>8000</v>
      </c>
      <c r="U31" s="42">
        <f t="shared" si="10"/>
        <v>2.2857142857142856</v>
      </c>
      <c r="V31" s="42">
        <v>1</v>
      </c>
      <c r="W31" s="42">
        <v>1</v>
      </c>
      <c r="X31" s="42">
        <v>1</v>
      </c>
      <c r="Y31" s="43">
        <f t="shared" si="11"/>
        <v>3.5</v>
      </c>
      <c r="Z31" s="44">
        <f t="shared" si="12"/>
        <v>12</v>
      </c>
      <c r="AB31" s="43">
        <f t="shared" si="13"/>
        <v>0</v>
      </c>
      <c r="AC31" s="45">
        <v>1</v>
      </c>
      <c r="AD31" s="45">
        <v>1</v>
      </c>
    </row>
    <row r="32" spans="1:30" ht="19" x14ac:dyDescent="0.2">
      <c r="A32" s="3">
        <v>29</v>
      </c>
      <c r="B32" s="4">
        <v>92000756</v>
      </c>
      <c r="C32" s="3" t="s">
        <v>35</v>
      </c>
      <c r="D32" s="5" t="s">
        <v>22</v>
      </c>
      <c r="E32" s="29">
        <v>1622.62</v>
      </c>
      <c r="F32" s="24">
        <v>11</v>
      </c>
      <c r="G32" s="23">
        <v>100</v>
      </c>
      <c r="H32" s="23"/>
      <c r="I32" s="23">
        <v>111</v>
      </c>
      <c r="J32" s="23">
        <f t="shared" si="3"/>
        <v>0</v>
      </c>
      <c r="K32" s="16">
        <f t="shared" si="4"/>
        <v>11</v>
      </c>
      <c r="L32" s="36">
        <f t="shared" si="5"/>
        <v>11</v>
      </c>
      <c r="M32" s="16">
        <f t="shared" si="0"/>
        <v>100</v>
      </c>
      <c r="N32" s="16">
        <f t="shared" si="1"/>
        <v>111</v>
      </c>
      <c r="O32" s="16">
        <f t="shared" si="2"/>
        <v>0</v>
      </c>
      <c r="P32" s="16">
        <f t="shared" si="6"/>
        <v>111</v>
      </c>
      <c r="Q32" s="16">
        <f t="shared" si="7"/>
        <v>9.25</v>
      </c>
      <c r="R32" s="46">
        <f t="shared" si="8"/>
        <v>0</v>
      </c>
      <c r="S32" s="39">
        <f t="shared" si="9"/>
        <v>5.5</v>
      </c>
      <c r="T32" s="2">
        <v>150</v>
      </c>
      <c r="U32" s="42">
        <f t="shared" si="10"/>
        <v>1.3513513513513513</v>
      </c>
      <c r="V32" s="42">
        <v>1</v>
      </c>
      <c r="W32" s="42">
        <v>1</v>
      </c>
      <c r="X32" s="42">
        <v>1</v>
      </c>
      <c r="Y32" s="43">
        <f t="shared" si="11"/>
        <v>20.181818181818183</v>
      </c>
      <c r="Z32" s="44">
        <f t="shared" si="12"/>
        <v>12</v>
      </c>
      <c r="AB32" s="43">
        <f t="shared" si="13"/>
        <v>0</v>
      </c>
      <c r="AC32" s="45">
        <v>1</v>
      </c>
      <c r="AD32" s="45">
        <v>1</v>
      </c>
    </row>
    <row r="33" spans="1:30" ht="19" x14ac:dyDescent="0.2">
      <c r="A33" s="3">
        <v>30</v>
      </c>
      <c r="B33" s="4">
        <v>92001960</v>
      </c>
      <c r="C33" s="3" t="s">
        <v>36</v>
      </c>
      <c r="D33" s="5" t="s">
        <v>37</v>
      </c>
      <c r="E33" s="28">
        <v>150.36000000000001</v>
      </c>
      <c r="F33" s="24">
        <v>2200</v>
      </c>
      <c r="G33" s="23">
        <v>6300</v>
      </c>
      <c r="H33" s="23"/>
      <c r="I33" s="23">
        <v>8500</v>
      </c>
      <c r="J33" s="23">
        <f t="shared" si="3"/>
        <v>0</v>
      </c>
      <c r="K33" s="16">
        <f t="shared" si="4"/>
        <v>2200</v>
      </c>
      <c r="L33" s="36">
        <f t="shared" si="5"/>
        <v>2200</v>
      </c>
      <c r="M33" s="16">
        <f t="shared" si="0"/>
        <v>6300</v>
      </c>
      <c r="N33" s="16">
        <f t="shared" si="1"/>
        <v>8500</v>
      </c>
      <c r="O33" s="16">
        <f t="shared" si="2"/>
        <v>0</v>
      </c>
      <c r="P33" s="16">
        <f t="shared" si="6"/>
        <v>8500</v>
      </c>
      <c r="Q33" s="16">
        <f t="shared" si="7"/>
        <v>708.33333333333337</v>
      </c>
      <c r="R33" s="46">
        <f t="shared" si="8"/>
        <v>0</v>
      </c>
      <c r="S33" s="39">
        <f t="shared" si="9"/>
        <v>1100</v>
      </c>
      <c r="T33" s="2">
        <v>3000</v>
      </c>
      <c r="U33" s="42">
        <f t="shared" si="10"/>
        <v>0.35294117647058826</v>
      </c>
      <c r="V33" s="42">
        <v>1</v>
      </c>
      <c r="W33" s="42">
        <v>1</v>
      </c>
      <c r="X33" s="42">
        <v>1</v>
      </c>
      <c r="Y33" s="43">
        <f t="shared" si="11"/>
        <v>7.7272727272727275</v>
      </c>
      <c r="Z33" s="44">
        <f t="shared" si="12"/>
        <v>12</v>
      </c>
      <c r="AB33" s="43">
        <f t="shared" si="13"/>
        <v>0</v>
      </c>
      <c r="AC33" s="45">
        <v>1</v>
      </c>
      <c r="AD33" s="45">
        <v>1</v>
      </c>
    </row>
    <row r="34" spans="1:30" ht="19" x14ac:dyDescent="0.2">
      <c r="A34" s="3">
        <v>31</v>
      </c>
      <c r="B34" s="4">
        <v>92001267</v>
      </c>
      <c r="C34" s="3" t="s">
        <v>38</v>
      </c>
      <c r="D34" s="5" t="s">
        <v>6</v>
      </c>
      <c r="E34" s="28">
        <v>225.33</v>
      </c>
      <c r="F34" s="24">
        <v>24800</v>
      </c>
      <c r="G34" s="23">
        <v>50000</v>
      </c>
      <c r="H34" s="23"/>
      <c r="I34" s="23">
        <v>64700</v>
      </c>
      <c r="J34" s="23">
        <f t="shared" si="3"/>
        <v>10100</v>
      </c>
      <c r="K34" s="16">
        <f t="shared" si="4"/>
        <v>24800</v>
      </c>
      <c r="L34" s="36">
        <f t="shared" si="5"/>
        <v>24800</v>
      </c>
      <c r="M34" s="16">
        <f t="shared" si="0"/>
        <v>50000</v>
      </c>
      <c r="N34" s="16">
        <f t="shared" si="1"/>
        <v>64700</v>
      </c>
      <c r="O34" s="16">
        <f t="shared" si="2"/>
        <v>10100</v>
      </c>
      <c r="P34" s="16">
        <f t="shared" si="6"/>
        <v>74800</v>
      </c>
      <c r="Q34" s="16">
        <f t="shared" si="7"/>
        <v>5391.666666666667</v>
      </c>
      <c r="R34" s="46">
        <f t="shared" si="8"/>
        <v>10100</v>
      </c>
      <c r="S34" s="39">
        <f t="shared" si="9"/>
        <v>17450</v>
      </c>
      <c r="T34" s="2">
        <v>100000</v>
      </c>
      <c r="U34" s="42">
        <f t="shared" si="10"/>
        <v>1.545595054095827</v>
      </c>
      <c r="V34" s="42">
        <v>1</v>
      </c>
      <c r="W34" s="42">
        <v>1</v>
      </c>
      <c r="X34" s="42">
        <v>1</v>
      </c>
      <c r="Y34" s="43">
        <f t="shared" si="11"/>
        <v>4.2865329512893986</v>
      </c>
      <c r="Z34" s="44">
        <f t="shared" si="12"/>
        <v>13.873261205564141</v>
      </c>
      <c r="AB34" s="43">
        <f t="shared" si="13"/>
        <v>0</v>
      </c>
      <c r="AC34" s="45">
        <v>1</v>
      </c>
      <c r="AD34" s="45">
        <v>1</v>
      </c>
    </row>
    <row r="35" spans="1:30" ht="19" x14ac:dyDescent="0.2">
      <c r="A35" s="3">
        <v>32</v>
      </c>
      <c r="B35" s="4">
        <v>92001885</v>
      </c>
      <c r="C35" s="4" t="s">
        <v>39</v>
      </c>
      <c r="D35" s="6" t="s">
        <v>6</v>
      </c>
      <c r="E35" s="27">
        <v>100</v>
      </c>
      <c r="F35" s="24">
        <v>0</v>
      </c>
      <c r="G35" s="23">
        <v>1000</v>
      </c>
      <c r="H35" s="23"/>
      <c r="I35" s="23">
        <v>1000</v>
      </c>
      <c r="J35" s="23">
        <f t="shared" si="3"/>
        <v>0</v>
      </c>
      <c r="K35" s="16">
        <f t="shared" si="4"/>
        <v>0</v>
      </c>
      <c r="L35" s="36">
        <v>1000</v>
      </c>
      <c r="M35" s="16">
        <f t="shared" si="0"/>
        <v>1000</v>
      </c>
      <c r="N35" s="16">
        <f t="shared" si="1"/>
        <v>1000</v>
      </c>
      <c r="O35" s="16">
        <f t="shared" si="2"/>
        <v>0</v>
      </c>
      <c r="P35" s="16">
        <f t="shared" si="6"/>
        <v>1000</v>
      </c>
      <c r="Q35" s="16">
        <f t="shared" si="7"/>
        <v>83.333333333333329</v>
      </c>
      <c r="R35" s="46">
        <f t="shared" si="8"/>
        <v>1000</v>
      </c>
      <c r="S35" s="39">
        <f t="shared" si="9"/>
        <v>1000</v>
      </c>
      <c r="T35" s="2">
        <v>1000</v>
      </c>
      <c r="U35" s="42">
        <f t="shared" si="10"/>
        <v>1</v>
      </c>
      <c r="V35" s="42">
        <v>1</v>
      </c>
      <c r="W35" s="42">
        <v>1</v>
      </c>
      <c r="X35" s="42">
        <v>1</v>
      </c>
      <c r="Y35" s="43">
        <f t="shared" si="11"/>
        <v>1</v>
      </c>
      <c r="Z35" s="44">
        <f t="shared" si="12"/>
        <v>12</v>
      </c>
      <c r="AB35" s="43">
        <f t="shared" si="13"/>
        <v>0</v>
      </c>
      <c r="AC35" s="45">
        <v>1</v>
      </c>
      <c r="AD35" s="45">
        <v>1</v>
      </c>
    </row>
    <row r="36" spans="1:30" ht="19" x14ac:dyDescent="0.2">
      <c r="A36" s="3">
        <v>33</v>
      </c>
      <c r="B36" s="4">
        <v>92000347</v>
      </c>
      <c r="C36" s="3" t="s">
        <v>40</v>
      </c>
      <c r="D36" s="5" t="s">
        <v>6</v>
      </c>
      <c r="E36" s="28">
        <v>375</v>
      </c>
      <c r="F36" s="24">
        <v>65</v>
      </c>
      <c r="G36" s="23"/>
      <c r="H36" s="23"/>
      <c r="I36" s="23">
        <v>65</v>
      </c>
      <c r="J36" s="23">
        <f t="shared" si="3"/>
        <v>0</v>
      </c>
      <c r="K36" s="16">
        <f t="shared" si="4"/>
        <v>65</v>
      </c>
      <c r="L36" s="36">
        <f t="shared" si="5"/>
        <v>65</v>
      </c>
      <c r="M36" s="16">
        <f t="shared" si="0"/>
        <v>0</v>
      </c>
      <c r="N36" s="16">
        <f t="shared" si="1"/>
        <v>65</v>
      </c>
      <c r="O36" s="16">
        <f t="shared" si="2"/>
        <v>0</v>
      </c>
      <c r="P36" s="16">
        <f t="shared" si="6"/>
        <v>65</v>
      </c>
      <c r="Q36" s="16">
        <f t="shared" si="7"/>
        <v>5.416666666666667</v>
      </c>
      <c r="R36" s="46">
        <f t="shared" si="8"/>
        <v>0</v>
      </c>
      <c r="S36" s="39">
        <f t="shared" si="9"/>
        <v>32.5</v>
      </c>
      <c r="T36" s="2">
        <v>0</v>
      </c>
      <c r="U36" s="42">
        <f t="shared" si="10"/>
        <v>0</v>
      </c>
      <c r="V36" s="42">
        <v>1</v>
      </c>
      <c r="W36" s="42">
        <v>1</v>
      </c>
      <c r="X36" s="42">
        <v>1</v>
      </c>
      <c r="Y36" s="43">
        <f t="shared" si="11"/>
        <v>2</v>
      </c>
      <c r="Z36" s="44">
        <f t="shared" si="12"/>
        <v>12</v>
      </c>
      <c r="AA36" s="40">
        <v>1</v>
      </c>
      <c r="AB36" s="43">
        <f t="shared" si="13"/>
        <v>0</v>
      </c>
      <c r="AC36" s="45">
        <v>1</v>
      </c>
      <c r="AD36" s="45">
        <v>1</v>
      </c>
    </row>
    <row r="37" spans="1:30" ht="19" x14ac:dyDescent="0.2">
      <c r="A37" s="3">
        <v>34</v>
      </c>
      <c r="B37" s="4">
        <v>92003720</v>
      </c>
      <c r="C37" s="4" t="s">
        <v>41</v>
      </c>
      <c r="D37" s="6" t="s">
        <v>6</v>
      </c>
      <c r="E37" s="28">
        <v>227.06</v>
      </c>
      <c r="F37" s="24">
        <v>4900</v>
      </c>
      <c r="G37" s="23">
        <v>8000</v>
      </c>
      <c r="H37" s="23"/>
      <c r="I37" s="23">
        <v>12900</v>
      </c>
      <c r="J37" s="23">
        <f t="shared" si="3"/>
        <v>0</v>
      </c>
      <c r="K37" s="16">
        <f t="shared" si="4"/>
        <v>4900</v>
      </c>
      <c r="L37" s="36">
        <f t="shared" si="5"/>
        <v>4900</v>
      </c>
      <c r="M37" s="16">
        <f t="shared" si="0"/>
        <v>8000</v>
      </c>
      <c r="N37" s="16">
        <f t="shared" si="1"/>
        <v>12900</v>
      </c>
      <c r="O37" s="16">
        <f t="shared" si="2"/>
        <v>0</v>
      </c>
      <c r="P37" s="16">
        <f t="shared" si="6"/>
        <v>12900</v>
      </c>
      <c r="Q37" s="16">
        <f t="shared" si="7"/>
        <v>1075</v>
      </c>
      <c r="R37" s="46">
        <f t="shared" si="8"/>
        <v>0</v>
      </c>
      <c r="S37" s="39">
        <f t="shared" si="9"/>
        <v>2450</v>
      </c>
      <c r="T37" s="2">
        <v>15000</v>
      </c>
      <c r="U37" s="42">
        <f t="shared" si="10"/>
        <v>1.1627906976744187</v>
      </c>
      <c r="V37" s="42">
        <v>1</v>
      </c>
      <c r="W37" s="42">
        <v>1</v>
      </c>
      <c r="X37" s="42">
        <v>1</v>
      </c>
      <c r="Y37" s="43">
        <f t="shared" si="11"/>
        <v>5.2653061224489797</v>
      </c>
      <c r="Z37" s="44">
        <f t="shared" si="12"/>
        <v>12</v>
      </c>
      <c r="AB37" s="43">
        <f t="shared" si="13"/>
        <v>0</v>
      </c>
      <c r="AC37" s="45">
        <v>1</v>
      </c>
      <c r="AD37" s="45">
        <v>1</v>
      </c>
    </row>
    <row r="38" spans="1:30" ht="19" x14ac:dyDescent="0.2">
      <c r="A38" s="3">
        <v>35</v>
      </c>
      <c r="B38" s="4">
        <v>92000809</v>
      </c>
      <c r="C38" s="4" t="s">
        <v>52</v>
      </c>
      <c r="D38" s="6" t="s">
        <v>37</v>
      </c>
      <c r="E38" s="27">
        <v>624</v>
      </c>
      <c r="F38" s="24">
        <v>150</v>
      </c>
      <c r="G38" s="23">
        <v>250</v>
      </c>
      <c r="H38" s="23"/>
      <c r="I38" s="23">
        <v>400</v>
      </c>
      <c r="J38" s="23">
        <f t="shared" si="3"/>
        <v>0</v>
      </c>
      <c r="K38" s="16">
        <f t="shared" si="4"/>
        <v>150</v>
      </c>
      <c r="L38" s="36">
        <f t="shared" si="5"/>
        <v>150</v>
      </c>
      <c r="M38" s="16">
        <f t="shared" si="0"/>
        <v>250</v>
      </c>
      <c r="N38" s="16">
        <f t="shared" si="1"/>
        <v>400</v>
      </c>
      <c r="O38" s="16">
        <f t="shared" si="2"/>
        <v>0</v>
      </c>
      <c r="P38" s="16">
        <f t="shared" si="6"/>
        <v>400</v>
      </c>
      <c r="Q38" s="16">
        <f t="shared" si="7"/>
        <v>33.333333333333336</v>
      </c>
      <c r="R38" s="46">
        <f t="shared" si="8"/>
        <v>0</v>
      </c>
      <c r="S38" s="39">
        <f t="shared" si="9"/>
        <v>75</v>
      </c>
      <c r="T38" s="2">
        <v>0</v>
      </c>
      <c r="U38" s="42">
        <f t="shared" si="10"/>
        <v>0</v>
      </c>
      <c r="V38" s="42">
        <v>1</v>
      </c>
      <c r="W38" s="42">
        <v>1</v>
      </c>
      <c r="X38" s="42">
        <v>1</v>
      </c>
      <c r="Y38" s="43">
        <f t="shared" si="11"/>
        <v>5.333333333333333</v>
      </c>
      <c r="Z38" s="44">
        <f t="shared" si="12"/>
        <v>12</v>
      </c>
      <c r="AB38" s="43">
        <f t="shared" si="13"/>
        <v>0</v>
      </c>
      <c r="AC38" s="45">
        <v>1</v>
      </c>
      <c r="AD38" s="45">
        <v>1</v>
      </c>
    </row>
    <row r="39" spans="1:30" ht="19" x14ac:dyDescent="0.2">
      <c r="A39" s="3">
        <v>36</v>
      </c>
      <c r="B39" s="4"/>
      <c r="C39" s="4" t="s">
        <v>42</v>
      </c>
      <c r="D39" s="6" t="s">
        <v>37</v>
      </c>
      <c r="E39" s="27">
        <v>552</v>
      </c>
      <c r="F39" s="24">
        <v>500</v>
      </c>
      <c r="G39" s="23">
        <v>2300</v>
      </c>
      <c r="H39" s="23"/>
      <c r="I39" s="23">
        <v>2800</v>
      </c>
      <c r="J39" s="23">
        <f t="shared" si="3"/>
        <v>0</v>
      </c>
      <c r="K39" s="16">
        <f t="shared" si="4"/>
        <v>500</v>
      </c>
      <c r="L39" s="36">
        <f t="shared" si="5"/>
        <v>500</v>
      </c>
      <c r="M39" s="16">
        <f t="shared" si="0"/>
        <v>2300</v>
      </c>
      <c r="N39" s="16">
        <f t="shared" si="1"/>
        <v>2800</v>
      </c>
      <c r="O39" s="16">
        <f t="shared" si="2"/>
        <v>0</v>
      </c>
      <c r="P39" s="16">
        <f t="shared" si="6"/>
        <v>2800</v>
      </c>
      <c r="Q39" s="16">
        <f t="shared" si="7"/>
        <v>233.33333333333334</v>
      </c>
      <c r="R39" s="46">
        <f t="shared" si="8"/>
        <v>0</v>
      </c>
      <c r="S39" s="39">
        <f t="shared" si="9"/>
        <v>250</v>
      </c>
      <c r="T39" s="2">
        <v>0</v>
      </c>
      <c r="U39" s="42">
        <f t="shared" si="10"/>
        <v>0</v>
      </c>
      <c r="V39" s="42">
        <v>1</v>
      </c>
      <c r="W39" s="42">
        <v>1</v>
      </c>
      <c r="X39" s="42">
        <v>1</v>
      </c>
      <c r="Y39" s="43">
        <f t="shared" si="11"/>
        <v>11.2</v>
      </c>
      <c r="Z39" s="44">
        <f t="shared" si="12"/>
        <v>12</v>
      </c>
      <c r="AB39" s="43">
        <f t="shared" si="13"/>
        <v>0</v>
      </c>
      <c r="AC39" s="45">
        <v>1</v>
      </c>
      <c r="AD39" s="45">
        <v>1</v>
      </c>
    </row>
    <row r="40" spans="1:30" ht="19" x14ac:dyDescent="0.2">
      <c r="A40" s="3">
        <v>37</v>
      </c>
      <c r="B40" s="4">
        <v>92000860</v>
      </c>
      <c r="C40" s="3" t="s">
        <v>43</v>
      </c>
      <c r="D40" s="5" t="s">
        <v>6</v>
      </c>
      <c r="E40" s="27">
        <v>128</v>
      </c>
      <c r="F40" s="24">
        <v>0</v>
      </c>
      <c r="G40" s="23">
        <v>1300</v>
      </c>
      <c r="H40" s="23"/>
      <c r="I40" s="23">
        <v>1300</v>
      </c>
      <c r="J40" s="23">
        <f t="shared" si="3"/>
        <v>0</v>
      </c>
      <c r="K40" s="16">
        <f t="shared" si="4"/>
        <v>0</v>
      </c>
      <c r="L40" s="36">
        <v>1300</v>
      </c>
      <c r="M40" s="16">
        <f t="shared" si="0"/>
        <v>1300</v>
      </c>
      <c r="N40" s="16">
        <f t="shared" si="1"/>
        <v>1300</v>
      </c>
      <c r="O40" s="16">
        <f t="shared" si="2"/>
        <v>0</v>
      </c>
      <c r="P40" s="16">
        <f t="shared" si="6"/>
        <v>1300</v>
      </c>
      <c r="Q40" s="16">
        <f t="shared" si="7"/>
        <v>108.33333333333333</v>
      </c>
      <c r="R40" s="46">
        <f t="shared" si="8"/>
        <v>1300</v>
      </c>
      <c r="S40" s="39">
        <f t="shared" si="9"/>
        <v>1300</v>
      </c>
      <c r="T40" s="2">
        <v>1200</v>
      </c>
      <c r="U40" s="42">
        <f t="shared" si="10"/>
        <v>0.92307692307692313</v>
      </c>
      <c r="V40" s="42">
        <v>1</v>
      </c>
      <c r="W40" s="42">
        <v>1</v>
      </c>
      <c r="X40" s="42">
        <v>1</v>
      </c>
      <c r="Y40" s="43">
        <f t="shared" si="11"/>
        <v>1</v>
      </c>
      <c r="Z40" s="44">
        <f t="shared" si="12"/>
        <v>12</v>
      </c>
      <c r="AB40" s="43">
        <f t="shared" si="13"/>
        <v>0</v>
      </c>
      <c r="AC40" s="45">
        <v>1</v>
      </c>
      <c r="AD40" s="45">
        <v>1</v>
      </c>
    </row>
    <row r="41" spans="1:30" ht="19" x14ac:dyDescent="0.2">
      <c r="A41" s="3">
        <v>38</v>
      </c>
      <c r="B41" s="4"/>
      <c r="C41" s="3" t="s">
        <v>55</v>
      </c>
      <c r="D41" s="5" t="s">
        <v>53</v>
      </c>
      <c r="E41" s="30">
        <v>7557</v>
      </c>
      <c r="F41" s="31">
        <v>0</v>
      </c>
      <c r="G41" s="23"/>
      <c r="H41" s="23"/>
      <c r="I41" s="23">
        <v>0</v>
      </c>
      <c r="J41" s="23">
        <f t="shared" si="3"/>
        <v>0</v>
      </c>
      <c r="K41" s="16">
        <f t="shared" si="4"/>
        <v>0</v>
      </c>
      <c r="L41" s="36">
        <f t="shared" si="5"/>
        <v>0</v>
      </c>
      <c r="M41" s="16">
        <f t="shared" si="0"/>
        <v>0</v>
      </c>
      <c r="N41" s="16">
        <f t="shared" si="1"/>
        <v>0</v>
      </c>
      <c r="O41" s="16">
        <f t="shared" si="2"/>
        <v>0</v>
      </c>
      <c r="P41" s="16">
        <f t="shared" si="6"/>
        <v>0</v>
      </c>
      <c r="Q41" s="16">
        <f t="shared" si="7"/>
        <v>0</v>
      </c>
      <c r="R41" s="46">
        <f t="shared" si="8"/>
        <v>0</v>
      </c>
      <c r="S41" s="39">
        <f t="shared" si="9"/>
        <v>0</v>
      </c>
      <c r="T41" s="2">
        <v>0</v>
      </c>
      <c r="U41" s="42" t="e">
        <f t="shared" si="10"/>
        <v>#DIV/0!</v>
      </c>
      <c r="V41" s="42">
        <v>1</v>
      </c>
      <c r="W41" s="42">
        <v>1</v>
      </c>
      <c r="X41" s="42">
        <v>1</v>
      </c>
      <c r="Y41" s="43" t="e">
        <f t="shared" si="11"/>
        <v>#DIV/0!</v>
      </c>
      <c r="Z41" s="44" t="e">
        <f t="shared" si="12"/>
        <v>#DIV/0!</v>
      </c>
      <c r="AB41" s="43" t="e">
        <f t="shared" si="13"/>
        <v>#DIV/0!</v>
      </c>
      <c r="AC41" s="45">
        <v>1</v>
      </c>
      <c r="AD41" s="45">
        <v>1</v>
      </c>
    </row>
    <row r="42" spans="1:30" ht="19" x14ac:dyDescent="0.2">
      <c r="A42" s="3">
        <v>39</v>
      </c>
      <c r="B42" s="4">
        <v>92000731</v>
      </c>
      <c r="C42" s="3" t="s">
        <v>54</v>
      </c>
      <c r="D42" s="5" t="s">
        <v>16</v>
      </c>
      <c r="E42" s="32">
        <v>3795</v>
      </c>
      <c r="F42" s="24">
        <v>20</v>
      </c>
      <c r="G42" s="23"/>
      <c r="H42" s="23"/>
      <c r="I42" s="23">
        <v>0</v>
      </c>
      <c r="J42" s="23">
        <f t="shared" si="3"/>
        <v>20</v>
      </c>
      <c r="K42" s="16">
        <f t="shared" si="4"/>
        <v>20</v>
      </c>
      <c r="L42" s="36">
        <f t="shared" si="5"/>
        <v>20</v>
      </c>
      <c r="M42" s="16">
        <f t="shared" si="0"/>
        <v>0</v>
      </c>
      <c r="N42" s="16">
        <f t="shared" si="1"/>
        <v>0</v>
      </c>
      <c r="O42" s="16">
        <f t="shared" si="2"/>
        <v>20</v>
      </c>
      <c r="P42" s="16">
        <f t="shared" si="6"/>
        <v>20</v>
      </c>
      <c r="Q42" s="16">
        <f t="shared" si="7"/>
        <v>0</v>
      </c>
      <c r="R42" s="46">
        <f t="shared" si="8"/>
        <v>20</v>
      </c>
      <c r="S42" s="39">
        <f t="shared" si="9"/>
        <v>20</v>
      </c>
      <c r="T42" s="2">
        <v>0</v>
      </c>
      <c r="U42" s="42" t="e">
        <f t="shared" si="10"/>
        <v>#DIV/0!</v>
      </c>
      <c r="V42" s="42">
        <v>1</v>
      </c>
      <c r="W42" s="42">
        <v>1</v>
      </c>
      <c r="X42" s="42">
        <v>1</v>
      </c>
      <c r="Y42" s="43">
        <f t="shared" si="11"/>
        <v>1</v>
      </c>
      <c r="Z42" s="44" t="e">
        <f t="shared" si="12"/>
        <v>#DIV/0!</v>
      </c>
      <c r="AB42" s="43">
        <f t="shared" si="13"/>
        <v>0</v>
      </c>
      <c r="AC42" s="45">
        <v>1</v>
      </c>
      <c r="AD42" s="45">
        <v>1</v>
      </c>
    </row>
    <row r="43" spans="1:30" ht="19" x14ac:dyDescent="0.2">
      <c r="A43" s="3">
        <v>40</v>
      </c>
      <c r="B43" s="4">
        <v>92000366</v>
      </c>
      <c r="C43" s="3" t="s">
        <v>44</v>
      </c>
      <c r="D43" s="5" t="s">
        <v>6</v>
      </c>
      <c r="E43" s="32">
        <v>189</v>
      </c>
      <c r="F43" s="24">
        <v>1000</v>
      </c>
      <c r="G43" s="23"/>
      <c r="H43" s="23"/>
      <c r="I43" s="23">
        <v>0</v>
      </c>
      <c r="J43" s="23">
        <f t="shared" si="3"/>
        <v>1000</v>
      </c>
      <c r="K43" s="16">
        <f t="shared" si="4"/>
        <v>1000</v>
      </c>
      <c r="L43" s="36">
        <f t="shared" si="5"/>
        <v>1000</v>
      </c>
      <c r="M43" s="16">
        <f t="shared" si="0"/>
        <v>0</v>
      </c>
      <c r="N43" s="16">
        <f t="shared" si="1"/>
        <v>0</v>
      </c>
      <c r="O43" s="16">
        <f t="shared" si="2"/>
        <v>1000</v>
      </c>
      <c r="P43" s="16">
        <f t="shared" si="6"/>
        <v>1000</v>
      </c>
      <c r="Q43" s="16">
        <f t="shared" si="7"/>
        <v>0</v>
      </c>
      <c r="R43" s="46">
        <f t="shared" si="8"/>
        <v>1000</v>
      </c>
      <c r="S43" s="39">
        <f t="shared" si="9"/>
        <v>1000</v>
      </c>
      <c r="T43" s="2">
        <v>2000</v>
      </c>
      <c r="U43" s="42" t="e">
        <f t="shared" si="10"/>
        <v>#DIV/0!</v>
      </c>
      <c r="V43" s="42">
        <v>1</v>
      </c>
      <c r="W43" s="42">
        <v>1</v>
      </c>
      <c r="X43" s="42">
        <v>1</v>
      </c>
      <c r="Y43" s="43">
        <f t="shared" si="11"/>
        <v>1</v>
      </c>
      <c r="Z43" s="44" t="e">
        <f t="shared" si="12"/>
        <v>#DIV/0!</v>
      </c>
      <c r="AB43" s="43">
        <f t="shared" si="13"/>
        <v>0</v>
      </c>
      <c r="AC43" s="45">
        <v>1</v>
      </c>
      <c r="AD43" s="45">
        <v>1</v>
      </c>
    </row>
    <row r="44" spans="1:30" ht="23" customHeight="1" x14ac:dyDescent="0.2">
      <c r="A44" s="3">
        <v>41</v>
      </c>
      <c r="B44" s="11">
        <v>92000201</v>
      </c>
      <c r="C44" s="11" t="s">
        <v>45</v>
      </c>
      <c r="D44" s="12" t="s">
        <v>6</v>
      </c>
      <c r="E44" s="33">
        <v>349.8</v>
      </c>
      <c r="F44" s="34">
        <v>1100</v>
      </c>
      <c r="G44" s="35">
        <v>2050</v>
      </c>
      <c r="H44" s="35"/>
      <c r="I44" s="35">
        <v>1450</v>
      </c>
      <c r="J44" s="35">
        <f t="shared" si="3"/>
        <v>1700</v>
      </c>
      <c r="K44" s="16">
        <f t="shared" si="4"/>
        <v>1100</v>
      </c>
      <c r="L44" s="36">
        <f t="shared" si="5"/>
        <v>1100</v>
      </c>
      <c r="M44" s="16">
        <f t="shared" si="0"/>
        <v>2050</v>
      </c>
      <c r="N44" s="16">
        <f t="shared" si="1"/>
        <v>1450</v>
      </c>
      <c r="O44" s="16">
        <f t="shared" si="2"/>
        <v>1700</v>
      </c>
      <c r="P44" s="16">
        <f t="shared" si="6"/>
        <v>3150</v>
      </c>
      <c r="Q44" s="16">
        <f t="shared" si="7"/>
        <v>120.83333333333333</v>
      </c>
      <c r="R44" s="46">
        <f t="shared" si="8"/>
        <v>1700</v>
      </c>
      <c r="S44" s="39">
        <f t="shared" si="9"/>
        <v>1400</v>
      </c>
      <c r="T44" s="2">
        <v>1000</v>
      </c>
      <c r="U44" s="42">
        <f t="shared" si="10"/>
        <v>0.68965517241379315</v>
      </c>
      <c r="V44" s="42">
        <v>1</v>
      </c>
      <c r="W44" s="42">
        <v>1</v>
      </c>
      <c r="X44" s="42">
        <v>1</v>
      </c>
      <c r="Y44" s="43">
        <f t="shared" si="11"/>
        <v>2.25</v>
      </c>
      <c r="Z44" s="44">
        <f t="shared" si="12"/>
        <v>26.068965517241381</v>
      </c>
      <c r="AB44" s="43">
        <f t="shared" si="13"/>
        <v>0</v>
      </c>
      <c r="AC44" s="45">
        <v>1</v>
      </c>
      <c r="AD44" s="45">
        <v>1</v>
      </c>
    </row>
    <row r="45" spans="1:30" x14ac:dyDescent="0.2">
      <c r="R45" s="39"/>
    </row>
    <row r="46" spans="1:30" x14ac:dyDescent="0.2">
      <c r="R46" s="39"/>
    </row>
    <row r="47" spans="1:30" x14ac:dyDescent="0.2">
      <c r="R47" s="39"/>
    </row>
    <row r="48" spans="1:30" x14ac:dyDescent="0.2">
      <c r="R48" s="39"/>
    </row>
    <row r="49" spans="18:18" x14ac:dyDescent="0.2">
      <c r="R49" s="39"/>
    </row>
    <row r="50" spans="18:18" x14ac:dyDescent="0.2">
      <c r="R50" s="39"/>
    </row>
    <row r="51" spans="18:18" x14ac:dyDescent="0.2">
      <c r="R51" s="39"/>
    </row>
    <row r="52" spans="18:18" x14ac:dyDescent="0.2">
      <c r="R52" s="39"/>
    </row>
    <row r="53" spans="18:18" x14ac:dyDescent="0.2">
      <c r="R53" s="39"/>
    </row>
    <row r="54" spans="18:18" x14ac:dyDescent="0.2">
      <c r="R54" s="39"/>
    </row>
    <row r="55" spans="18:18" x14ac:dyDescent="0.2">
      <c r="R55" s="39"/>
    </row>
    <row r="56" spans="18:18" x14ac:dyDescent="0.2">
      <c r="R56" s="39"/>
    </row>
    <row r="57" spans="18:18" x14ac:dyDescent="0.2">
      <c r="R57" s="39"/>
    </row>
    <row r="58" spans="18:18" x14ac:dyDescent="0.2">
      <c r="R58" s="39"/>
    </row>
    <row r="59" spans="18:18" x14ac:dyDescent="0.2">
      <c r="R59" s="39"/>
    </row>
    <row r="60" spans="18:18" x14ac:dyDescent="0.2">
      <c r="R60" s="39"/>
    </row>
  </sheetData>
  <mergeCells count="7">
    <mergeCell ref="A1:C1"/>
    <mergeCell ref="F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ADFB-3B0C-0F4B-9DF6-72D5D57E27D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Tarus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 Winda Lutsina</dc:creator>
  <cp:lastModifiedBy>nowvie88@gmail.com</cp:lastModifiedBy>
  <dcterms:created xsi:type="dcterms:W3CDTF">2026-05-06T09:51:00Z</dcterms:created>
  <dcterms:modified xsi:type="dcterms:W3CDTF">2026-08-06T16:59:00Z</dcterms:modified>
</cp:coreProperties>
</file>