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bdb4160d7acfc7/Dokumen/UGM/Tahap 1/LPLPO/Data Fix/"/>
    </mc:Choice>
  </mc:AlternateContent>
  <xr:revisionPtr revIDLastSave="3" documentId="8_{C6A956B0-851C-9145-889B-210F6B18EF23}" xr6:coauthVersionLast="47" xr6:coauthVersionMax="47" xr10:uidLastSave="{95E8FF88-AFD5-2340-883F-8530A4FB2C7B}"/>
  <bookViews>
    <workbookView xWindow="0" yWindow="500" windowWidth="28800" windowHeight="16180" xr2:uid="{B361B2BE-E788-EE4A-A5B6-DE6D4C1A0AB6}"/>
  </bookViews>
  <sheets>
    <sheet name="Naibon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36" i="1" l="1"/>
  <c r="BR4" i="1"/>
  <c r="BE8" i="1" l="1"/>
  <c r="BE9" i="1"/>
  <c r="BE16" i="1"/>
  <c r="BE17" i="1"/>
  <c r="BE41" i="1"/>
  <c r="BG5" i="1"/>
  <c r="BN5" i="1" s="1"/>
  <c r="BG6" i="1"/>
  <c r="BN6" i="1" s="1"/>
  <c r="BG7" i="1"/>
  <c r="BN7" i="1" s="1"/>
  <c r="BG8" i="1"/>
  <c r="BN8" i="1" s="1"/>
  <c r="BG9" i="1"/>
  <c r="BN9" i="1" s="1"/>
  <c r="BG10" i="1"/>
  <c r="BG11" i="1"/>
  <c r="BG12" i="1"/>
  <c r="BN12" i="1" s="1"/>
  <c r="BG13" i="1"/>
  <c r="BN13" i="1" s="1"/>
  <c r="BG14" i="1"/>
  <c r="BN14" i="1" s="1"/>
  <c r="BG15" i="1"/>
  <c r="BN15" i="1" s="1"/>
  <c r="BG16" i="1"/>
  <c r="BN16" i="1" s="1"/>
  <c r="BG17" i="1"/>
  <c r="BN17" i="1" s="1"/>
  <c r="BG18" i="1"/>
  <c r="BN18" i="1" s="1"/>
  <c r="BG19" i="1"/>
  <c r="BN19" i="1" s="1"/>
  <c r="BG20" i="1"/>
  <c r="BN20" i="1" s="1"/>
  <c r="BG21" i="1"/>
  <c r="BN21" i="1" s="1"/>
  <c r="BG22" i="1"/>
  <c r="BN22" i="1" s="1"/>
  <c r="BG23" i="1"/>
  <c r="BN23" i="1" s="1"/>
  <c r="BG24" i="1"/>
  <c r="BN24" i="1" s="1"/>
  <c r="BG25" i="1"/>
  <c r="BN25" i="1" s="1"/>
  <c r="BG26" i="1"/>
  <c r="BG27" i="1"/>
  <c r="BN27" i="1" s="1"/>
  <c r="BG28" i="1"/>
  <c r="BN28" i="1" s="1"/>
  <c r="BG29" i="1"/>
  <c r="BN29" i="1" s="1"/>
  <c r="BG30" i="1"/>
  <c r="BN30" i="1" s="1"/>
  <c r="BG31" i="1"/>
  <c r="BN31" i="1" s="1"/>
  <c r="BG32" i="1"/>
  <c r="BN32" i="1" s="1"/>
  <c r="BG33" i="1"/>
  <c r="BN33" i="1" s="1"/>
  <c r="BG34" i="1"/>
  <c r="BG35" i="1"/>
  <c r="BN35" i="1" s="1"/>
  <c r="BG36" i="1"/>
  <c r="BN36" i="1" s="1"/>
  <c r="BG37" i="1"/>
  <c r="BN37" i="1" s="1"/>
  <c r="BG38" i="1"/>
  <c r="BN38" i="1" s="1"/>
  <c r="BG39" i="1"/>
  <c r="BN39" i="1" s="1"/>
  <c r="BG40" i="1"/>
  <c r="BN40" i="1" s="1"/>
  <c r="BG41" i="1"/>
  <c r="BN41" i="1" s="1"/>
  <c r="BG43" i="1"/>
  <c r="BG44" i="1"/>
  <c r="BN44" i="1" s="1"/>
  <c r="BG4" i="1"/>
  <c r="BN4" i="1" s="1"/>
  <c r="BF5" i="1"/>
  <c r="BF6" i="1"/>
  <c r="BF7" i="1"/>
  <c r="BF8" i="1"/>
  <c r="BF9" i="1"/>
  <c r="BF10" i="1"/>
  <c r="BF11" i="1"/>
  <c r="BF12" i="1"/>
  <c r="BF13" i="1"/>
  <c r="BF14" i="1"/>
  <c r="BF15" i="1"/>
  <c r="BF16" i="1"/>
  <c r="BD16" i="1" s="1"/>
  <c r="BF17" i="1"/>
  <c r="BF18" i="1"/>
  <c r="BF19" i="1"/>
  <c r="BF20" i="1"/>
  <c r="BF21" i="1"/>
  <c r="BF22" i="1"/>
  <c r="BD22" i="1" s="1"/>
  <c r="BE22" i="1" s="1"/>
  <c r="BF23" i="1"/>
  <c r="BD23" i="1" s="1"/>
  <c r="BF24" i="1"/>
  <c r="BF25" i="1"/>
  <c r="BF26" i="1"/>
  <c r="BF27" i="1"/>
  <c r="BF28" i="1"/>
  <c r="BF29" i="1"/>
  <c r="BF30" i="1"/>
  <c r="BD30" i="1" s="1"/>
  <c r="BF31" i="1"/>
  <c r="BD31" i="1" s="1"/>
  <c r="BF32" i="1"/>
  <c r="BF33" i="1"/>
  <c r="BF34" i="1"/>
  <c r="BF35" i="1"/>
  <c r="BF36" i="1"/>
  <c r="BD36" i="1" s="1"/>
  <c r="BE36" i="1" s="1"/>
  <c r="BF37" i="1"/>
  <c r="BF38" i="1"/>
  <c r="BD38" i="1" s="1"/>
  <c r="BE38" i="1" s="1"/>
  <c r="BF39" i="1"/>
  <c r="BD39" i="1" s="1"/>
  <c r="BE39" i="1" s="1"/>
  <c r="BF40" i="1"/>
  <c r="BF41" i="1"/>
  <c r="BD41" i="1" s="1"/>
  <c r="BF42" i="1"/>
  <c r="BF43" i="1"/>
  <c r="BF44" i="1"/>
  <c r="BF4" i="1"/>
  <c r="BC5" i="1"/>
  <c r="BD5" i="1" s="1"/>
  <c r="BC7" i="1"/>
  <c r="BD7" i="1" s="1"/>
  <c r="BC8" i="1"/>
  <c r="BD8" i="1" s="1"/>
  <c r="BC9" i="1"/>
  <c r="BD9" i="1" s="1"/>
  <c r="BC10" i="1"/>
  <c r="BC11" i="1"/>
  <c r="BC12" i="1"/>
  <c r="BD12" i="1" s="1"/>
  <c r="BC13" i="1"/>
  <c r="BD13" i="1" s="1"/>
  <c r="BC14" i="1"/>
  <c r="BD14" i="1" s="1"/>
  <c r="BC15" i="1"/>
  <c r="BD15" i="1" s="1"/>
  <c r="BC17" i="1"/>
  <c r="BD17" i="1" s="1"/>
  <c r="BC18" i="1"/>
  <c r="BC19" i="1"/>
  <c r="BC20" i="1"/>
  <c r="BD20" i="1" s="1"/>
  <c r="BC21" i="1"/>
  <c r="BC23" i="1"/>
  <c r="BE23" i="1" s="1"/>
  <c r="BC24" i="1"/>
  <c r="BC25" i="1"/>
  <c r="BC26" i="1"/>
  <c r="BC27" i="1"/>
  <c r="BC28" i="1"/>
  <c r="BC29" i="1"/>
  <c r="BC30" i="1"/>
  <c r="BE30" i="1" s="1"/>
  <c r="BC31" i="1"/>
  <c r="BE31" i="1" s="1"/>
  <c r="BC32" i="1"/>
  <c r="BC33" i="1"/>
  <c r="BC34" i="1"/>
  <c r="BC35" i="1"/>
  <c r="BC37" i="1"/>
  <c r="BC40" i="1"/>
  <c r="BC43" i="1"/>
  <c r="BC44" i="1"/>
  <c r="BD44" i="1" s="1"/>
  <c r="BE28" i="1" l="1"/>
  <c r="BE10" i="1"/>
  <c r="BE14" i="1"/>
  <c r="BE7" i="1"/>
  <c r="BD29" i="1"/>
  <c r="BD11" i="1"/>
  <c r="BE11" i="1" s="1"/>
  <c r="BN11" i="1"/>
  <c r="BE13" i="1"/>
  <c r="BD10" i="1"/>
  <c r="BN10" i="1"/>
  <c r="BE44" i="1"/>
  <c r="BE20" i="1"/>
  <c r="BE12" i="1"/>
  <c r="BD21" i="1"/>
  <c r="BE21" i="1" s="1"/>
  <c r="BE29" i="1"/>
  <c r="BD37" i="1"/>
  <c r="BE37" i="1" s="1"/>
  <c r="BD19" i="1"/>
  <c r="BE19" i="1" s="1"/>
  <c r="BD34" i="1"/>
  <c r="BE34" i="1" s="1"/>
  <c r="BN34" i="1"/>
  <c r="BD35" i="1"/>
  <c r="BD33" i="1"/>
  <c r="BE33" i="1" s="1"/>
  <c r="BD25" i="1"/>
  <c r="BE25" i="1" s="1"/>
  <c r="BE35" i="1"/>
  <c r="BE15" i="1"/>
  <c r="BE5" i="1"/>
  <c r="BD28" i="1"/>
  <c r="BD43" i="1"/>
  <c r="BE43" i="1" s="1"/>
  <c r="BN43" i="1"/>
  <c r="BD26" i="1"/>
  <c r="BE26" i="1" s="1"/>
  <c r="BN26" i="1"/>
  <c r="BD27" i="1"/>
  <c r="BE27" i="1" s="1"/>
  <c r="BD18" i="1"/>
  <c r="BD40" i="1"/>
  <c r="BE40" i="1" s="1"/>
  <c r="BD32" i="1"/>
  <c r="BE32" i="1" s="1"/>
  <c r="BD24" i="1"/>
  <c r="BE24" i="1" s="1"/>
  <c r="BE18" i="1"/>
  <c r="BD4" i="1"/>
  <c r="BE4" i="1" s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3" i="1"/>
  <c r="BJ44" i="1"/>
  <c r="I27" i="1" l="1"/>
  <c r="J27" i="1" s="1"/>
  <c r="Q39" i="1" l="1"/>
  <c r="R39" i="1" s="1"/>
  <c r="Q41" i="1"/>
  <c r="R41" i="1" s="1"/>
  <c r="Q4" i="1"/>
  <c r="R4" i="1" s="1"/>
  <c r="U41" i="1" l="1"/>
  <c r="V41" i="1" s="1"/>
  <c r="Y41" i="1" s="1"/>
  <c r="Z41" i="1" s="1"/>
  <c r="AC41" i="1" s="1"/>
  <c r="AD41" i="1" s="1"/>
  <c r="AG41" i="1" s="1"/>
  <c r="AH41" i="1" s="1"/>
  <c r="AK41" i="1" s="1"/>
  <c r="AL41" i="1" s="1"/>
  <c r="AO41" i="1" s="1"/>
  <c r="AP41" i="1" s="1"/>
  <c r="AS41" i="1" s="1"/>
  <c r="AT41" i="1" s="1"/>
  <c r="AW41" i="1" s="1"/>
  <c r="AX41" i="1" s="1"/>
  <c r="BA41" i="1" s="1"/>
  <c r="U39" i="1"/>
  <c r="V39" i="1" s="1"/>
  <c r="Y39" i="1" s="1"/>
  <c r="Z39" i="1" s="1"/>
  <c r="AC39" i="1" s="1"/>
  <c r="AD39" i="1" s="1"/>
  <c r="AG39" i="1" s="1"/>
  <c r="AH39" i="1" s="1"/>
  <c r="AK39" i="1" s="1"/>
  <c r="AL39" i="1" s="1"/>
  <c r="AO39" i="1" s="1"/>
  <c r="AP39" i="1" s="1"/>
  <c r="AS39" i="1" s="1"/>
  <c r="AT39" i="1" s="1"/>
  <c r="AW39" i="1" s="1"/>
  <c r="AX39" i="1" s="1"/>
  <c r="BA39" i="1" s="1"/>
  <c r="U4" i="1"/>
  <c r="V4" i="1" s="1"/>
  <c r="Y4" i="1" s="1"/>
  <c r="Z4" i="1" s="1"/>
  <c r="AC4" i="1" s="1"/>
  <c r="AD4" i="1" s="1"/>
  <c r="AG4" i="1" s="1"/>
  <c r="AH4" i="1" s="1"/>
  <c r="AK4" i="1" s="1"/>
  <c r="AL4" i="1" s="1"/>
  <c r="AO4" i="1" s="1"/>
  <c r="AP4" i="1" s="1"/>
  <c r="AS4" i="1" s="1"/>
  <c r="AT4" i="1" s="1"/>
  <c r="AW4" i="1" s="1"/>
  <c r="AX4" i="1" s="1"/>
  <c r="BA4" i="1" s="1"/>
  <c r="M39" i="1"/>
  <c r="E24" i="1"/>
  <c r="BB39" i="1" l="1"/>
  <c r="BB4" i="1"/>
  <c r="BJ11" i="1"/>
  <c r="BB41" i="1"/>
  <c r="J36" i="1"/>
  <c r="J38" i="1"/>
  <c r="BI41" i="1" l="1"/>
  <c r="BH41" i="1"/>
  <c r="BI4" i="1"/>
  <c r="BI39" i="1"/>
  <c r="BH39" i="1"/>
  <c r="M38" i="1"/>
  <c r="M36" i="1"/>
  <c r="E44" i="1"/>
  <c r="E43" i="1"/>
  <c r="I43" i="1"/>
  <c r="J43" i="1" s="1"/>
  <c r="H42" i="1"/>
  <c r="BG42" i="1" s="1"/>
  <c r="BN42" i="1" s="1"/>
  <c r="F42" i="1"/>
  <c r="BC42" i="1" s="1"/>
  <c r="I40" i="1"/>
  <c r="J40" i="1" s="1"/>
  <c r="E40" i="1"/>
  <c r="I37" i="1"/>
  <c r="J37" i="1" s="1"/>
  <c r="E35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5" i="1"/>
  <c r="J25" i="1" s="1"/>
  <c r="I26" i="1"/>
  <c r="J26" i="1" s="1"/>
  <c r="M27" i="1"/>
  <c r="N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44" i="1"/>
  <c r="J44" i="1" s="1"/>
  <c r="E31" i="1"/>
  <c r="E29" i="1"/>
  <c r="E28" i="1"/>
  <c r="E25" i="1"/>
  <c r="I24" i="1"/>
  <c r="J24" i="1" s="1"/>
  <c r="E15" i="1"/>
  <c r="E14" i="1"/>
  <c r="E12" i="1"/>
  <c r="E11" i="1"/>
  <c r="BD42" i="1" l="1"/>
  <c r="BE42" i="1"/>
  <c r="BS39" i="1"/>
  <c r="BR39" i="1"/>
  <c r="BU39" i="1"/>
  <c r="BU4" i="1"/>
  <c r="BU41" i="1"/>
  <c r="BS41" i="1"/>
  <c r="BR41" i="1"/>
  <c r="BJ42" i="1"/>
  <c r="BJ10" i="1"/>
  <c r="N38" i="1"/>
  <c r="M14" i="1"/>
  <c r="N14" i="1" s="1"/>
  <c r="Q14" i="1" s="1"/>
  <c r="R14" i="1" s="1"/>
  <c r="U14" i="1" s="1"/>
  <c r="V14" i="1" s="1"/>
  <c r="Y14" i="1" s="1"/>
  <c r="Z14" i="1" s="1"/>
  <c r="AC14" i="1" s="1"/>
  <c r="AD14" i="1" s="1"/>
  <c r="AG14" i="1" s="1"/>
  <c r="AH14" i="1" s="1"/>
  <c r="AK14" i="1" s="1"/>
  <c r="AL14" i="1" s="1"/>
  <c r="AO14" i="1" s="1"/>
  <c r="AP14" i="1" s="1"/>
  <c r="AS14" i="1" s="1"/>
  <c r="AT14" i="1" s="1"/>
  <c r="AW14" i="1" s="1"/>
  <c r="AX14" i="1" s="1"/>
  <c r="BA14" i="1" s="1"/>
  <c r="N36" i="1"/>
  <c r="M29" i="1"/>
  <c r="M13" i="1"/>
  <c r="N13" i="1" s="1"/>
  <c r="Q13" i="1" s="1"/>
  <c r="R13" i="1" s="1"/>
  <c r="U13" i="1" s="1"/>
  <c r="V13" i="1" s="1"/>
  <c r="Y13" i="1" s="1"/>
  <c r="Z13" i="1" s="1"/>
  <c r="AC13" i="1" s="1"/>
  <c r="AD13" i="1" s="1"/>
  <c r="AG13" i="1" s="1"/>
  <c r="AH13" i="1" s="1"/>
  <c r="AK13" i="1" s="1"/>
  <c r="AL13" i="1" s="1"/>
  <c r="AO13" i="1" s="1"/>
  <c r="AP13" i="1" s="1"/>
  <c r="AS13" i="1" s="1"/>
  <c r="AT13" i="1" s="1"/>
  <c r="AW13" i="1" s="1"/>
  <c r="AX13" i="1" s="1"/>
  <c r="BA13" i="1" s="1"/>
  <c r="M22" i="1"/>
  <c r="N22" i="1" s="1"/>
  <c r="Q22" i="1" s="1"/>
  <c r="R22" i="1" s="1"/>
  <c r="U22" i="1" s="1"/>
  <c r="V22" i="1" s="1"/>
  <c r="Y22" i="1" s="1"/>
  <c r="Z22" i="1" s="1"/>
  <c r="AC22" i="1" s="1"/>
  <c r="AD22" i="1" s="1"/>
  <c r="AG22" i="1" s="1"/>
  <c r="AH22" i="1" s="1"/>
  <c r="AK22" i="1" s="1"/>
  <c r="AL22" i="1" s="1"/>
  <c r="AO22" i="1" s="1"/>
  <c r="AP22" i="1" s="1"/>
  <c r="AS22" i="1" s="1"/>
  <c r="AT22" i="1" s="1"/>
  <c r="AW22" i="1" s="1"/>
  <c r="AX22" i="1" s="1"/>
  <c r="BA22" i="1" s="1"/>
  <c r="M21" i="1"/>
  <c r="N21" i="1" s="1"/>
  <c r="Q21" i="1" s="1"/>
  <c r="R21" i="1" s="1"/>
  <c r="U21" i="1" s="1"/>
  <c r="V21" i="1" s="1"/>
  <c r="Y21" i="1" s="1"/>
  <c r="Z21" i="1" s="1"/>
  <c r="AC21" i="1" s="1"/>
  <c r="AD21" i="1" s="1"/>
  <c r="AG21" i="1" s="1"/>
  <c r="AH21" i="1" s="1"/>
  <c r="AK21" i="1" s="1"/>
  <c r="AL21" i="1" s="1"/>
  <c r="AO21" i="1" s="1"/>
  <c r="AP21" i="1" s="1"/>
  <c r="AS21" i="1" s="1"/>
  <c r="AT21" i="1" s="1"/>
  <c r="AW21" i="1" s="1"/>
  <c r="AX21" i="1" s="1"/>
  <c r="BA21" i="1" s="1"/>
  <c r="M26" i="1"/>
  <c r="N26" i="1" s="1"/>
  <c r="Q26" i="1" s="1"/>
  <c r="R26" i="1" s="1"/>
  <c r="U26" i="1" s="1"/>
  <c r="V26" i="1" s="1"/>
  <c r="Y26" i="1" s="1"/>
  <c r="Z26" i="1" s="1"/>
  <c r="AC26" i="1" s="1"/>
  <c r="AD26" i="1" s="1"/>
  <c r="AG26" i="1" s="1"/>
  <c r="AH26" i="1" s="1"/>
  <c r="AK26" i="1" s="1"/>
  <c r="AL26" i="1" s="1"/>
  <c r="AO26" i="1" s="1"/>
  <c r="AP26" i="1" s="1"/>
  <c r="AS26" i="1" s="1"/>
  <c r="AT26" i="1" s="1"/>
  <c r="AW26" i="1" s="1"/>
  <c r="AX26" i="1" s="1"/>
  <c r="BA26" i="1" s="1"/>
  <c r="M11" i="1"/>
  <c r="N11" i="1" s="1"/>
  <c r="Q11" i="1" s="1"/>
  <c r="R11" i="1" s="1"/>
  <c r="U11" i="1" s="1"/>
  <c r="V11" i="1" s="1"/>
  <c r="Y11" i="1" s="1"/>
  <c r="Z11" i="1" s="1"/>
  <c r="AC11" i="1" s="1"/>
  <c r="AD11" i="1" s="1"/>
  <c r="AG11" i="1" s="1"/>
  <c r="AH11" i="1" s="1"/>
  <c r="AK11" i="1" s="1"/>
  <c r="AL11" i="1" s="1"/>
  <c r="AO11" i="1" s="1"/>
  <c r="AP11" i="1" s="1"/>
  <c r="AS11" i="1" s="1"/>
  <c r="AT11" i="1" s="1"/>
  <c r="AW11" i="1" s="1"/>
  <c r="AX11" i="1" s="1"/>
  <c r="BA11" i="1" s="1"/>
  <c r="M7" i="1"/>
  <c r="N7" i="1" s="1"/>
  <c r="Q7" i="1" s="1"/>
  <c r="R7" i="1" s="1"/>
  <c r="U7" i="1" s="1"/>
  <c r="V7" i="1" s="1"/>
  <c r="Y7" i="1" s="1"/>
  <c r="Z7" i="1" s="1"/>
  <c r="AC7" i="1" s="1"/>
  <c r="AD7" i="1" s="1"/>
  <c r="AG7" i="1" s="1"/>
  <c r="AH7" i="1" s="1"/>
  <c r="AK7" i="1" s="1"/>
  <c r="AL7" i="1" s="1"/>
  <c r="AO7" i="1" s="1"/>
  <c r="AP7" i="1" s="1"/>
  <c r="AS7" i="1" s="1"/>
  <c r="AT7" i="1" s="1"/>
  <c r="AW7" i="1" s="1"/>
  <c r="AX7" i="1" s="1"/>
  <c r="BA7" i="1" s="1"/>
  <c r="M44" i="1"/>
  <c r="M23" i="1"/>
  <c r="N23" i="1" s="1"/>
  <c r="Q23" i="1" s="1"/>
  <c r="R23" i="1" s="1"/>
  <c r="U23" i="1" s="1"/>
  <c r="V23" i="1" s="1"/>
  <c r="Y23" i="1" s="1"/>
  <c r="Z23" i="1" s="1"/>
  <c r="AC23" i="1" s="1"/>
  <c r="AD23" i="1" s="1"/>
  <c r="AG23" i="1" s="1"/>
  <c r="AH23" i="1" s="1"/>
  <c r="AK23" i="1" s="1"/>
  <c r="AL23" i="1" s="1"/>
  <c r="AO23" i="1" s="1"/>
  <c r="AP23" i="1" s="1"/>
  <c r="AS23" i="1" s="1"/>
  <c r="AT23" i="1" s="1"/>
  <c r="AW23" i="1" s="1"/>
  <c r="AX23" i="1" s="1"/>
  <c r="BA23" i="1" s="1"/>
  <c r="M30" i="1"/>
  <c r="M35" i="1"/>
  <c r="M16" i="1"/>
  <c r="N16" i="1" s="1"/>
  <c r="Q16" i="1" s="1"/>
  <c r="R16" i="1" s="1"/>
  <c r="U16" i="1" s="1"/>
  <c r="V16" i="1" s="1"/>
  <c r="Y16" i="1" s="1"/>
  <c r="Z16" i="1" s="1"/>
  <c r="AC16" i="1" s="1"/>
  <c r="AD16" i="1" s="1"/>
  <c r="AG16" i="1" s="1"/>
  <c r="AH16" i="1" s="1"/>
  <c r="AK16" i="1" s="1"/>
  <c r="AL16" i="1" s="1"/>
  <c r="AO16" i="1" s="1"/>
  <c r="AP16" i="1" s="1"/>
  <c r="AS16" i="1" s="1"/>
  <c r="AT16" i="1" s="1"/>
  <c r="AW16" i="1" s="1"/>
  <c r="AX16" i="1" s="1"/>
  <c r="BA16" i="1" s="1"/>
  <c r="M28" i="1"/>
  <c r="M43" i="1"/>
  <c r="M25" i="1"/>
  <c r="N25" i="1" s="1"/>
  <c r="Q25" i="1" s="1"/>
  <c r="R25" i="1" s="1"/>
  <c r="U25" i="1" s="1"/>
  <c r="V25" i="1" s="1"/>
  <c r="Y25" i="1" s="1"/>
  <c r="Z25" i="1" s="1"/>
  <c r="AC25" i="1" s="1"/>
  <c r="AD25" i="1" s="1"/>
  <c r="AG25" i="1" s="1"/>
  <c r="AH25" i="1" s="1"/>
  <c r="AK25" i="1" s="1"/>
  <c r="AL25" i="1" s="1"/>
  <c r="AO25" i="1" s="1"/>
  <c r="AP25" i="1" s="1"/>
  <c r="AS25" i="1" s="1"/>
  <c r="AT25" i="1" s="1"/>
  <c r="AW25" i="1" s="1"/>
  <c r="AX25" i="1" s="1"/>
  <c r="BA25" i="1" s="1"/>
  <c r="M15" i="1"/>
  <c r="N15" i="1" s="1"/>
  <c r="Q15" i="1" s="1"/>
  <c r="R15" i="1" s="1"/>
  <c r="U15" i="1" s="1"/>
  <c r="V15" i="1" s="1"/>
  <c r="Y15" i="1" s="1"/>
  <c r="Z15" i="1" s="1"/>
  <c r="AC15" i="1" s="1"/>
  <c r="AD15" i="1" s="1"/>
  <c r="AG15" i="1" s="1"/>
  <c r="AH15" i="1" s="1"/>
  <c r="AK15" i="1" s="1"/>
  <c r="AL15" i="1" s="1"/>
  <c r="AO15" i="1" s="1"/>
  <c r="AP15" i="1" s="1"/>
  <c r="AS15" i="1" s="1"/>
  <c r="AT15" i="1" s="1"/>
  <c r="AW15" i="1" s="1"/>
  <c r="AX15" i="1" s="1"/>
  <c r="BA15" i="1" s="1"/>
  <c r="M10" i="1"/>
  <c r="N10" i="1" s="1"/>
  <c r="Q10" i="1" s="1"/>
  <c r="R10" i="1" s="1"/>
  <c r="U10" i="1" s="1"/>
  <c r="V10" i="1" s="1"/>
  <c r="Y10" i="1" s="1"/>
  <c r="Z10" i="1" s="1"/>
  <c r="AC10" i="1" s="1"/>
  <c r="AD10" i="1" s="1"/>
  <c r="AG10" i="1" s="1"/>
  <c r="AH10" i="1" s="1"/>
  <c r="AK10" i="1" s="1"/>
  <c r="AL10" i="1" s="1"/>
  <c r="AO10" i="1" s="1"/>
  <c r="AP10" i="1" s="1"/>
  <c r="AS10" i="1" s="1"/>
  <c r="AT10" i="1" s="1"/>
  <c r="AW10" i="1" s="1"/>
  <c r="AX10" i="1" s="1"/>
  <c r="BA10" i="1" s="1"/>
  <c r="M31" i="1"/>
  <c r="M17" i="1"/>
  <c r="N17" i="1" s="1"/>
  <c r="Q17" i="1" s="1"/>
  <c r="R17" i="1" s="1"/>
  <c r="U17" i="1" s="1"/>
  <c r="V17" i="1" s="1"/>
  <c r="Y17" i="1" s="1"/>
  <c r="Z17" i="1" s="1"/>
  <c r="AC17" i="1" s="1"/>
  <c r="AD17" i="1" s="1"/>
  <c r="AG17" i="1" s="1"/>
  <c r="AH17" i="1" s="1"/>
  <c r="AK17" i="1" s="1"/>
  <c r="AL17" i="1" s="1"/>
  <c r="AO17" i="1" s="1"/>
  <c r="AP17" i="1" s="1"/>
  <c r="AS17" i="1" s="1"/>
  <c r="AT17" i="1" s="1"/>
  <c r="AW17" i="1" s="1"/>
  <c r="AX17" i="1" s="1"/>
  <c r="BA17" i="1" s="1"/>
  <c r="M9" i="1"/>
  <c r="N9" i="1" s="1"/>
  <c r="Q9" i="1" s="1"/>
  <c r="R9" i="1" s="1"/>
  <c r="U9" i="1" s="1"/>
  <c r="V9" i="1" s="1"/>
  <c r="Y9" i="1" s="1"/>
  <c r="Z9" i="1" s="1"/>
  <c r="AC9" i="1" s="1"/>
  <c r="AD9" i="1" s="1"/>
  <c r="AG9" i="1" s="1"/>
  <c r="AH9" i="1" s="1"/>
  <c r="AK9" i="1" s="1"/>
  <c r="AL9" i="1" s="1"/>
  <c r="AO9" i="1" s="1"/>
  <c r="AP9" i="1" s="1"/>
  <c r="AS9" i="1" s="1"/>
  <c r="AT9" i="1" s="1"/>
  <c r="AW9" i="1" s="1"/>
  <c r="AX9" i="1" s="1"/>
  <c r="BA9" i="1" s="1"/>
  <c r="M8" i="1"/>
  <c r="N8" i="1" s="1"/>
  <c r="Q8" i="1" s="1"/>
  <c r="R8" i="1" s="1"/>
  <c r="U8" i="1" s="1"/>
  <c r="V8" i="1" s="1"/>
  <c r="Y8" i="1" s="1"/>
  <c r="Z8" i="1" s="1"/>
  <c r="AC8" i="1" s="1"/>
  <c r="AD8" i="1" s="1"/>
  <c r="AG8" i="1" s="1"/>
  <c r="AH8" i="1" s="1"/>
  <c r="AK8" i="1" s="1"/>
  <c r="AL8" i="1" s="1"/>
  <c r="AO8" i="1" s="1"/>
  <c r="AP8" i="1" s="1"/>
  <c r="AS8" i="1" s="1"/>
  <c r="AT8" i="1" s="1"/>
  <c r="AW8" i="1" s="1"/>
  <c r="AX8" i="1" s="1"/>
  <c r="BA8" i="1" s="1"/>
  <c r="M24" i="1"/>
  <c r="N24" i="1" s="1"/>
  <c r="Q24" i="1" s="1"/>
  <c r="R24" i="1" s="1"/>
  <c r="U24" i="1" s="1"/>
  <c r="V24" i="1" s="1"/>
  <c r="Y24" i="1" s="1"/>
  <c r="Z24" i="1" s="1"/>
  <c r="AC24" i="1" s="1"/>
  <c r="AD24" i="1" s="1"/>
  <c r="AG24" i="1" s="1"/>
  <c r="AH24" i="1" s="1"/>
  <c r="AK24" i="1" s="1"/>
  <c r="AL24" i="1" s="1"/>
  <c r="AO24" i="1" s="1"/>
  <c r="AP24" i="1" s="1"/>
  <c r="AS24" i="1" s="1"/>
  <c r="AT24" i="1" s="1"/>
  <c r="AW24" i="1" s="1"/>
  <c r="AX24" i="1" s="1"/>
  <c r="BA24" i="1" s="1"/>
  <c r="Q27" i="1"/>
  <c r="R27" i="1" s="1"/>
  <c r="U27" i="1" s="1"/>
  <c r="V27" i="1" s="1"/>
  <c r="Y27" i="1" s="1"/>
  <c r="Z27" i="1" s="1"/>
  <c r="AC27" i="1" s="1"/>
  <c r="AD27" i="1" s="1"/>
  <c r="AG27" i="1" s="1"/>
  <c r="AH27" i="1" s="1"/>
  <c r="AK27" i="1" s="1"/>
  <c r="AL27" i="1" s="1"/>
  <c r="AO27" i="1" s="1"/>
  <c r="AP27" i="1" s="1"/>
  <c r="AS27" i="1" s="1"/>
  <c r="AT27" i="1" s="1"/>
  <c r="AW27" i="1" s="1"/>
  <c r="AX27" i="1" s="1"/>
  <c r="BA27" i="1" s="1"/>
  <c r="M12" i="1"/>
  <c r="N12" i="1" s="1"/>
  <c r="Q12" i="1" s="1"/>
  <c r="R12" i="1" s="1"/>
  <c r="U12" i="1" s="1"/>
  <c r="V12" i="1" s="1"/>
  <c r="Y12" i="1" s="1"/>
  <c r="Z12" i="1" s="1"/>
  <c r="AC12" i="1" s="1"/>
  <c r="AD12" i="1" s="1"/>
  <c r="AG12" i="1" s="1"/>
  <c r="AH12" i="1" s="1"/>
  <c r="AK12" i="1" s="1"/>
  <c r="AL12" i="1" s="1"/>
  <c r="AO12" i="1" s="1"/>
  <c r="AP12" i="1" s="1"/>
  <c r="AS12" i="1" s="1"/>
  <c r="AT12" i="1" s="1"/>
  <c r="AW12" i="1" s="1"/>
  <c r="AX12" i="1" s="1"/>
  <c r="BA12" i="1" s="1"/>
  <c r="M34" i="1"/>
  <c r="M20" i="1"/>
  <c r="N20" i="1" s="1"/>
  <c r="Q20" i="1" s="1"/>
  <c r="R20" i="1" s="1"/>
  <c r="U20" i="1" s="1"/>
  <c r="V20" i="1" s="1"/>
  <c r="Y20" i="1" s="1"/>
  <c r="Z20" i="1" s="1"/>
  <c r="AC20" i="1" s="1"/>
  <c r="AD20" i="1" s="1"/>
  <c r="AG20" i="1" s="1"/>
  <c r="AH20" i="1" s="1"/>
  <c r="AK20" i="1" s="1"/>
  <c r="AL20" i="1" s="1"/>
  <c r="AO20" i="1" s="1"/>
  <c r="AP20" i="1" s="1"/>
  <c r="AS20" i="1" s="1"/>
  <c r="AT20" i="1" s="1"/>
  <c r="AW20" i="1" s="1"/>
  <c r="AX20" i="1" s="1"/>
  <c r="BA20" i="1" s="1"/>
  <c r="M33" i="1"/>
  <c r="M19" i="1"/>
  <c r="N19" i="1" s="1"/>
  <c r="Q19" i="1" s="1"/>
  <c r="R19" i="1" s="1"/>
  <c r="U19" i="1" s="1"/>
  <c r="V19" i="1" s="1"/>
  <c r="Y19" i="1" s="1"/>
  <c r="Z19" i="1" s="1"/>
  <c r="AC19" i="1" s="1"/>
  <c r="AD19" i="1" s="1"/>
  <c r="AG19" i="1" s="1"/>
  <c r="AH19" i="1" s="1"/>
  <c r="AK19" i="1" s="1"/>
  <c r="AL19" i="1" s="1"/>
  <c r="AO19" i="1" s="1"/>
  <c r="AP19" i="1" s="1"/>
  <c r="AS19" i="1" s="1"/>
  <c r="AT19" i="1" s="1"/>
  <c r="AW19" i="1" s="1"/>
  <c r="AX19" i="1" s="1"/>
  <c r="BA19" i="1" s="1"/>
  <c r="M32" i="1"/>
  <c r="M18" i="1"/>
  <c r="N18" i="1" s="1"/>
  <c r="Q18" i="1" s="1"/>
  <c r="R18" i="1" s="1"/>
  <c r="U18" i="1" s="1"/>
  <c r="V18" i="1" s="1"/>
  <c r="Y18" i="1" s="1"/>
  <c r="Z18" i="1" s="1"/>
  <c r="AC18" i="1" s="1"/>
  <c r="AD18" i="1" s="1"/>
  <c r="AG18" i="1" s="1"/>
  <c r="AH18" i="1" s="1"/>
  <c r="AK18" i="1" s="1"/>
  <c r="AL18" i="1" s="1"/>
  <c r="AO18" i="1" s="1"/>
  <c r="AP18" i="1" s="1"/>
  <c r="AS18" i="1" s="1"/>
  <c r="AT18" i="1" s="1"/>
  <c r="AW18" i="1" s="1"/>
  <c r="AX18" i="1" s="1"/>
  <c r="BA18" i="1" s="1"/>
  <c r="M37" i="1"/>
  <c r="M40" i="1"/>
  <c r="I42" i="1"/>
  <c r="J42" i="1" s="1"/>
  <c r="BB18" i="1" l="1"/>
  <c r="BB27" i="1"/>
  <c r="BI27" i="1" s="1"/>
  <c r="BB7" i="1"/>
  <c r="BI7" i="1" s="1"/>
  <c r="BB25" i="1"/>
  <c r="BI25" i="1" s="1"/>
  <c r="BB20" i="1"/>
  <c r="BI20" i="1" s="1"/>
  <c r="BB8" i="1"/>
  <c r="BH8" i="1" s="1"/>
  <c r="BB11" i="1"/>
  <c r="BH11" i="1" s="1"/>
  <c r="BB12" i="1"/>
  <c r="BH12" i="1" s="1"/>
  <c r="N31" i="1"/>
  <c r="BB17" i="1"/>
  <c r="BB14" i="1"/>
  <c r="BJ9" i="1"/>
  <c r="BI18" i="1"/>
  <c r="BH18" i="1"/>
  <c r="BB24" i="1"/>
  <c r="BH27" i="1"/>
  <c r="BJ12" i="1"/>
  <c r="BB13" i="1"/>
  <c r="BB19" i="1"/>
  <c r="BB22" i="1"/>
  <c r="BB9" i="1"/>
  <c r="N30" i="1"/>
  <c r="BB21" i="1"/>
  <c r="Q38" i="1"/>
  <c r="R38" i="1" s="1"/>
  <c r="U38" i="1" s="1"/>
  <c r="V38" i="1" s="1"/>
  <c r="Y38" i="1" s="1"/>
  <c r="Z38" i="1" s="1"/>
  <c r="AC38" i="1" s="1"/>
  <c r="AD38" i="1" s="1"/>
  <c r="AG38" i="1" s="1"/>
  <c r="AH38" i="1" s="1"/>
  <c r="AK38" i="1" s="1"/>
  <c r="AL38" i="1" s="1"/>
  <c r="AO38" i="1" s="1"/>
  <c r="AP38" i="1" s="1"/>
  <c r="AS38" i="1" s="1"/>
  <c r="AT38" i="1" s="1"/>
  <c r="AW38" i="1" s="1"/>
  <c r="AX38" i="1" s="1"/>
  <c r="BA38" i="1" s="1"/>
  <c r="BJ14" i="1"/>
  <c r="BB26" i="1"/>
  <c r="BB16" i="1"/>
  <c r="BJ8" i="1"/>
  <c r="BJ4" i="1"/>
  <c r="BS4" i="1" s="1"/>
  <c r="BH4" i="1"/>
  <c r="N29" i="1"/>
  <c r="BB23" i="1"/>
  <c r="BB15" i="1"/>
  <c r="BB10" i="1"/>
  <c r="N37" i="1"/>
  <c r="N44" i="1"/>
  <c r="Q36" i="1"/>
  <c r="R36" i="1" s="1"/>
  <c r="U36" i="1" s="1"/>
  <c r="V36" i="1" s="1"/>
  <c r="Y36" i="1" s="1"/>
  <c r="Z36" i="1" s="1"/>
  <c r="AC36" i="1" s="1"/>
  <c r="AD36" i="1" s="1"/>
  <c r="AG36" i="1" s="1"/>
  <c r="AH36" i="1" s="1"/>
  <c r="AK36" i="1" s="1"/>
  <c r="AL36" i="1" s="1"/>
  <c r="AO36" i="1" s="1"/>
  <c r="AP36" i="1" s="1"/>
  <c r="AS36" i="1" s="1"/>
  <c r="AT36" i="1" s="1"/>
  <c r="AW36" i="1" s="1"/>
  <c r="AX36" i="1" s="1"/>
  <c r="BA36" i="1" s="1"/>
  <c r="N34" i="1"/>
  <c r="N35" i="1"/>
  <c r="N28" i="1"/>
  <c r="N32" i="1"/>
  <c r="N40" i="1"/>
  <c r="N33" i="1"/>
  <c r="N43" i="1"/>
  <c r="M42" i="1"/>
  <c r="BU27" i="1" l="1"/>
  <c r="BS27" i="1"/>
  <c r="BR27" i="1"/>
  <c r="BR20" i="1"/>
  <c r="BU20" i="1"/>
  <c r="BS20" i="1"/>
  <c r="BR7" i="1"/>
  <c r="BU7" i="1"/>
  <c r="BR18" i="1"/>
  <c r="BU18" i="1"/>
  <c r="BS18" i="1"/>
  <c r="BU25" i="1"/>
  <c r="BS25" i="1"/>
  <c r="BR25" i="1"/>
  <c r="BH25" i="1"/>
  <c r="BH7" i="1"/>
  <c r="BH20" i="1"/>
  <c r="BI8" i="1"/>
  <c r="BI12" i="1"/>
  <c r="BI11" i="1"/>
  <c r="BH9" i="1"/>
  <c r="BI9" i="1"/>
  <c r="BB38" i="1"/>
  <c r="BI19" i="1"/>
  <c r="BH19" i="1"/>
  <c r="BI21" i="1"/>
  <c r="BH21" i="1"/>
  <c r="BH15" i="1"/>
  <c r="BI15" i="1"/>
  <c r="BB36" i="1"/>
  <c r="BJ7" i="1"/>
  <c r="BS7" i="1" s="1"/>
  <c r="Q29" i="1"/>
  <c r="R29" i="1" s="1"/>
  <c r="U29" i="1" s="1"/>
  <c r="V29" i="1" s="1"/>
  <c r="Y29" i="1" s="1"/>
  <c r="Z29" i="1" s="1"/>
  <c r="AC29" i="1" s="1"/>
  <c r="AD29" i="1" s="1"/>
  <c r="AG29" i="1" s="1"/>
  <c r="AH29" i="1" s="1"/>
  <c r="AK29" i="1" s="1"/>
  <c r="AL29" i="1" s="1"/>
  <c r="AO29" i="1" s="1"/>
  <c r="AP29" i="1" s="1"/>
  <c r="AS29" i="1" s="1"/>
  <c r="AT29" i="1" s="1"/>
  <c r="AW29" i="1" s="1"/>
  <c r="AX29" i="1" s="1"/>
  <c r="BA29" i="1" s="1"/>
  <c r="BI22" i="1"/>
  <c r="BH22" i="1"/>
  <c r="BI13" i="1"/>
  <c r="BH13" i="1"/>
  <c r="BI14" i="1"/>
  <c r="BH14" i="1"/>
  <c r="BJ6" i="1"/>
  <c r="Q31" i="1"/>
  <c r="R31" i="1" s="1"/>
  <c r="U31" i="1" s="1"/>
  <c r="V31" i="1" s="1"/>
  <c r="Y31" i="1" s="1"/>
  <c r="Z31" i="1" s="1"/>
  <c r="AC31" i="1" s="1"/>
  <c r="AD31" i="1" s="1"/>
  <c r="AG31" i="1" s="1"/>
  <c r="AH31" i="1" s="1"/>
  <c r="AK31" i="1" s="1"/>
  <c r="AL31" i="1" s="1"/>
  <c r="AO31" i="1" s="1"/>
  <c r="AP31" i="1" s="1"/>
  <c r="AS31" i="1" s="1"/>
  <c r="AT31" i="1" s="1"/>
  <c r="AW31" i="1" s="1"/>
  <c r="AX31" i="1" s="1"/>
  <c r="BA31" i="1" s="1"/>
  <c r="BH24" i="1"/>
  <c r="BI24" i="1"/>
  <c r="BI10" i="1"/>
  <c r="BH10" i="1"/>
  <c r="BI17" i="1"/>
  <c r="BH17" i="1"/>
  <c r="BJ13" i="1"/>
  <c r="BI23" i="1"/>
  <c r="BH23" i="1"/>
  <c r="BH16" i="1"/>
  <c r="BI16" i="1"/>
  <c r="BJ5" i="1"/>
  <c r="BH26" i="1"/>
  <c r="BI26" i="1"/>
  <c r="Q30" i="1"/>
  <c r="R30" i="1" s="1"/>
  <c r="U30" i="1" s="1"/>
  <c r="V30" i="1" s="1"/>
  <c r="Y30" i="1" s="1"/>
  <c r="Z30" i="1" s="1"/>
  <c r="AC30" i="1" s="1"/>
  <c r="AD30" i="1" s="1"/>
  <c r="AG30" i="1" s="1"/>
  <c r="AH30" i="1" s="1"/>
  <c r="AK30" i="1" s="1"/>
  <c r="AL30" i="1" s="1"/>
  <c r="AO30" i="1" s="1"/>
  <c r="AP30" i="1" s="1"/>
  <c r="AS30" i="1" s="1"/>
  <c r="AT30" i="1" s="1"/>
  <c r="AW30" i="1" s="1"/>
  <c r="AX30" i="1" s="1"/>
  <c r="BA30" i="1" s="1"/>
  <c r="Q28" i="1"/>
  <c r="R28" i="1" s="1"/>
  <c r="U28" i="1" s="1"/>
  <c r="V28" i="1" s="1"/>
  <c r="Y28" i="1" s="1"/>
  <c r="Z28" i="1" s="1"/>
  <c r="AC28" i="1" s="1"/>
  <c r="AD28" i="1" s="1"/>
  <c r="AG28" i="1" s="1"/>
  <c r="AH28" i="1" s="1"/>
  <c r="AK28" i="1" s="1"/>
  <c r="AL28" i="1" s="1"/>
  <c r="AO28" i="1" s="1"/>
  <c r="AP28" i="1" s="1"/>
  <c r="AS28" i="1" s="1"/>
  <c r="AT28" i="1" s="1"/>
  <c r="AW28" i="1" s="1"/>
  <c r="AX28" i="1" s="1"/>
  <c r="BA28" i="1" s="1"/>
  <c r="Q33" i="1"/>
  <c r="R33" i="1" s="1"/>
  <c r="U33" i="1" s="1"/>
  <c r="V33" i="1" s="1"/>
  <c r="Y33" i="1" s="1"/>
  <c r="Z33" i="1" s="1"/>
  <c r="AC33" i="1" s="1"/>
  <c r="AD33" i="1" s="1"/>
  <c r="AG33" i="1" s="1"/>
  <c r="AH33" i="1" s="1"/>
  <c r="AK33" i="1" s="1"/>
  <c r="AL33" i="1" s="1"/>
  <c r="AO33" i="1" s="1"/>
  <c r="AP33" i="1" s="1"/>
  <c r="AS33" i="1" s="1"/>
  <c r="AT33" i="1" s="1"/>
  <c r="AW33" i="1" s="1"/>
  <c r="AX33" i="1" s="1"/>
  <c r="BA33" i="1" s="1"/>
  <c r="Q32" i="1"/>
  <c r="R32" i="1" s="1"/>
  <c r="U32" i="1" s="1"/>
  <c r="V32" i="1" s="1"/>
  <c r="Y32" i="1" s="1"/>
  <c r="Z32" i="1" s="1"/>
  <c r="AC32" i="1" s="1"/>
  <c r="AD32" i="1" s="1"/>
  <c r="AG32" i="1" s="1"/>
  <c r="AH32" i="1" s="1"/>
  <c r="AK32" i="1" s="1"/>
  <c r="AL32" i="1" s="1"/>
  <c r="AO32" i="1" s="1"/>
  <c r="AP32" i="1" s="1"/>
  <c r="AS32" i="1" s="1"/>
  <c r="AT32" i="1" s="1"/>
  <c r="AW32" i="1" s="1"/>
  <c r="AX32" i="1" s="1"/>
  <c r="BA32" i="1" s="1"/>
  <c r="Q44" i="1"/>
  <c r="R44" i="1" s="1"/>
  <c r="U44" i="1" s="1"/>
  <c r="V44" i="1" s="1"/>
  <c r="Y44" i="1" s="1"/>
  <c r="Z44" i="1" s="1"/>
  <c r="AC44" i="1" s="1"/>
  <c r="AD44" i="1" s="1"/>
  <c r="AG44" i="1" s="1"/>
  <c r="AH44" i="1" s="1"/>
  <c r="AK44" i="1" s="1"/>
  <c r="AL44" i="1" s="1"/>
  <c r="AO44" i="1" s="1"/>
  <c r="AP44" i="1" s="1"/>
  <c r="AS44" i="1" s="1"/>
  <c r="AT44" i="1" s="1"/>
  <c r="AW44" i="1" s="1"/>
  <c r="AX44" i="1" s="1"/>
  <c r="BA44" i="1" s="1"/>
  <c r="Q34" i="1"/>
  <c r="R34" i="1" s="1"/>
  <c r="U34" i="1" s="1"/>
  <c r="V34" i="1" s="1"/>
  <c r="Y34" i="1" s="1"/>
  <c r="Z34" i="1" s="1"/>
  <c r="AC34" i="1" s="1"/>
  <c r="AD34" i="1" s="1"/>
  <c r="AG34" i="1" s="1"/>
  <c r="AH34" i="1" s="1"/>
  <c r="AK34" i="1" s="1"/>
  <c r="AL34" i="1" s="1"/>
  <c r="AO34" i="1" s="1"/>
  <c r="AP34" i="1" s="1"/>
  <c r="AS34" i="1" s="1"/>
  <c r="AT34" i="1" s="1"/>
  <c r="AW34" i="1" s="1"/>
  <c r="AX34" i="1" s="1"/>
  <c r="BA34" i="1" s="1"/>
  <c r="Q37" i="1"/>
  <c r="R37" i="1" s="1"/>
  <c r="U37" i="1" s="1"/>
  <c r="V37" i="1" s="1"/>
  <c r="Y37" i="1" s="1"/>
  <c r="Z37" i="1" s="1"/>
  <c r="AC37" i="1" s="1"/>
  <c r="AD37" i="1" s="1"/>
  <c r="AG37" i="1" s="1"/>
  <c r="AH37" i="1" s="1"/>
  <c r="AK37" i="1" s="1"/>
  <c r="AL37" i="1" s="1"/>
  <c r="AO37" i="1" s="1"/>
  <c r="AP37" i="1" s="1"/>
  <c r="AS37" i="1" s="1"/>
  <c r="AT37" i="1" s="1"/>
  <c r="AW37" i="1" s="1"/>
  <c r="AX37" i="1" s="1"/>
  <c r="BA37" i="1" s="1"/>
  <c r="Q43" i="1"/>
  <c r="R43" i="1" s="1"/>
  <c r="U43" i="1" s="1"/>
  <c r="V43" i="1" s="1"/>
  <c r="Y43" i="1" s="1"/>
  <c r="Z43" i="1" s="1"/>
  <c r="AC43" i="1" s="1"/>
  <c r="AD43" i="1" s="1"/>
  <c r="AG43" i="1" s="1"/>
  <c r="AH43" i="1" s="1"/>
  <c r="AK43" i="1" s="1"/>
  <c r="AL43" i="1" s="1"/>
  <c r="AO43" i="1" s="1"/>
  <c r="AP43" i="1" s="1"/>
  <c r="AS43" i="1" s="1"/>
  <c r="AT43" i="1" s="1"/>
  <c r="AW43" i="1" s="1"/>
  <c r="AX43" i="1" s="1"/>
  <c r="BA43" i="1" s="1"/>
  <c r="N42" i="1"/>
  <c r="Q40" i="1"/>
  <c r="R40" i="1" s="1"/>
  <c r="U40" i="1" s="1"/>
  <c r="V40" i="1" s="1"/>
  <c r="Y40" i="1" s="1"/>
  <c r="Z40" i="1" s="1"/>
  <c r="AC40" i="1" s="1"/>
  <c r="AD40" i="1" s="1"/>
  <c r="AG40" i="1" s="1"/>
  <c r="AH40" i="1" s="1"/>
  <c r="AK40" i="1" s="1"/>
  <c r="AL40" i="1" s="1"/>
  <c r="AO40" i="1" s="1"/>
  <c r="AP40" i="1" s="1"/>
  <c r="AS40" i="1" s="1"/>
  <c r="AT40" i="1" s="1"/>
  <c r="AW40" i="1" s="1"/>
  <c r="AX40" i="1" s="1"/>
  <c r="BA40" i="1" s="1"/>
  <c r="Q35" i="1"/>
  <c r="R35" i="1" s="1"/>
  <c r="U35" i="1" s="1"/>
  <c r="V35" i="1" s="1"/>
  <c r="Y35" i="1" s="1"/>
  <c r="Z35" i="1" s="1"/>
  <c r="AC35" i="1" s="1"/>
  <c r="AD35" i="1" s="1"/>
  <c r="AG35" i="1" s="1"/>
  <c r="AH35" i="1" s="1"/>
  <c r="AK35" i="1" s="1"/>
  <c r="AL35" i="1" s="1"/>
  <c r="AO35" i="1" s="1"/>
  <c r="AP35" i="1" s="1"/>
  <c r="AS35" i="1" s="1"/>
  <c r="AT35" i="1" s="1"/>
  <c r="AW35" i="1" s="1"/>
  <c r="AX35" i="1" s="1"/>
  <c r="BA35" i="1" s="1"/>
  <c r="F6" i="1"/>
  <c r="BC6" i="1" s="1"/>
  <c r="I5" i="1"/>
  <c r="J5" i="1" s="1"/>
  <c r="BS23" i="1" l="1"/>
  <c r="BR23" i="1"/>
  <c r="BU23" i="1"/>
  <c r="BU26" i="1"/>
  <c r="BS26" i="1"/>
  <c r="BR26" i="1"/>
  <c r="BR17" i="1"/>
  <c r="BS17" i="1"/>
  <c r="BU14" i="1"/>
  <c r="BR14" i="1"/>
  <c r="BS14" i="1"/>
  <c r="BS15" i="1"/>
  <c r="BR15" i="1"/>
  <c r="BU15" i="1"/>
  <c r="BR11" i="1"/>
  <c r="BU11" i="1"/>
  <c r="BS11" i="1"/>
  <c r="BS16" i="1"/>
  <c r="BU16" i="1"/>
  <c r="BR16" i="1"/>
  <c r="BS10" i="1"/>
  <c r="BR10" i="1"/>
  <c r="BU10" i="1"/>
  <c r="BU13" i="1"/>
  <c r="BS13" i="1"/>
  <c r="BR13" i="1"/>
  <c r="BR12" i="1"/>
  <c r="BU12" i="1"/>
  <c r="BS12" i="1"/>
  <c r="BD6" i="1"/>
  <c r="BE6" i="1"/>
  <c r="BS24" i="1"/>
  <c r="BU24" i="1"/>
  <c r="BR24" i="1"/>
  <c r="BU21" i="1"/>
  <c r="BR21" i="1"/>
  <c r="BS21" i="1"/>
  <c r="BR8" i="1"/>
  <c r="BS8" i="1"/>
  <c r="BU8" i="1"/>
  <c r="BU9" i="1"/>
  <c r="BS9" i="1"/>
  <c r="BR9" i="1"/>
  <c r="BU22" i="1"/>
  <c r="BS22" i="1"/>
  <c r="BR22" i="1"/>
  <c r="BS19" i="1"/>
  <c r="BR19" i="1"/>
  <c r="BU19" i="1"/>
  <c r="BB29" i="1"/>
  <c r="BB30" i="1"/>
  <c r="BI30" i="1" s="1"/>
  <c r="BB33" i="1"/>
  <c r="BI33" i="1" s="1"/>
  <c r="BB35" i="1"/>
  <c r="BI35" i="1" s="1"/>
  <c r="BB44" i="1"/>
  <c r="BH44" i="1" s="1"/>
  <c r="BI44" i="1"/>
  <c r="BI36" i="1"/>
  <c r="BH36" i="1"/>
  <c r="BB40" i="1"/>
  <c r="BB28" i="1"/>
  <c r="BH29" i="1"/>
  <c r="BI29" i="1"/>
  <c r="BI38" i="1"/>
  <c r="BH38" i="1"/>
  <c r="BB31" i="1"/>
  <c r="BB34" i="1"/>
  <c r="BB37" i="1"/>
  <c r="BB32" i="1"/>
  <c r="BB43" i="1"/>
  <c r="Q42" i="1"/>
  <c r="R42" i="1" s="1"/>
  <c r="U42" i="1" s="1"/>
  <c r="V42" i="1" s="1"/>
  <c r="Y42" i="1" s="1"/>
  <c r="Z42" i="1" s="1"/>
  <c r="AC42" i="1" s="1"/>
  <c r="AD42" i="1" s="1"/>
  <c r="AG42" i="1" s="1"/>
  <c r="AH42" i="1" s="1"/>
  <c r="AK42" i="1" s="1"/>
  <c r="AL42" i="1" s="1"/>
  <c r="AO42" i="1" s="1"/>
  <c r="AP42" i="1" s="1"/>
  <c r="AS42" i="1" s="1"/>
  <c r="AT42" i="1" s="1"/>
  <c r="AW42" i="1" s="1"/>
  <c r="AX42" i="1" s="1"/>
  <c r="BA42" i="1" s="1"/>
  <c r="M5" i="1"/>
  <c r="N5" i="1" s="1"/>
  <c r="Q5" i="1" s="1"/>
  <c r="R5" i="1" s="1"/>
  <c r="U5" i="1" s="1"/>
  <c r="V5" i="1" s="1"/>
  <c r="Y5" i="1" s="1"/>
  <c r="Z5" i="1" s="1"/>
  <c r="AC5" i="1" s="1"/>
  <c r="AD5" i="1" s="1"/>
  <c r="AG5" i="1" s="1"/>
  <c r="AH5" i="1" s="1"/>
  <c r="AK5" i="1" s="1"/>
  <c r="AL5" i="1" s="1"/>
  <c r="AO5" i="1" s="1"/>
  <c r="AP5" i="1" s="1"/>
  <c r="AS5" i="1" s="1"/>
  <c r="AT5" i="1" s="1"/>
  <c r="AW5" i="1" s="1"/>
  <c r="AX5" i="1" s="1"/>
  <c r="BA5" i="1" s="1"/>
  <c r="I6" i="1"/>
  <c r="BR44" i="1" l="1"/>
  <c r="BU44" i="1"/>
  <c r="BS44" i="1"/>
  <c r="BU33" i="1"/>
  <c r="BS33" i="1"/>
  <c r="BR33" i="1"/>
  <c r="BU38" i="1"/>
  <c r="BR38" i="1"/>
  <c r="BS38" i="1"/>
  <c r="BU29" i="1"/>
  <c r="BR29" i="1"/>
  <c r="BS29" i="1"/>
  <c r="BR30" i="1"/>
  <c r="BU30" i="1"/>
  <c r="BS30" i="1"/>
  <c r="BH33" i="1"/>
  <c r="BS35" i="1"/>
  <c r="BR35" i="1"/>
  <c r="BU35" i="1"/>
  <c r="BH30" i="1"/>
  <c r="BR36" i="1"/>
  <c r="BU36" i="1"/>
  <c r="BH35" i="1"/>
  <c r="BH40" i="1"/>
  <c r="BI40" i="1"/>
  <c r="BI43" i="1"/>
  <c r="BH43" i="1"/>
  <c r="BH37" i="1"/>
  <c r="BI37" i="1"/>
  <c r="BB42" i="1"/>
  <c r="BB5" i="1"/>
  <c r="BH31" i="1"/>
  <c r="BI31" i="1"/>
  <c r="BI32" i="1"/>
  <c r="BH32" i="1"/>
  <c r="BH34" i="1"/>
  <c r="BI34" i="1"/>
  <c r="BH28" i="1"/>
  <c r="BI28" i="1"/>
  <c r="J6" i="1"/>
  <c r="BR28" i="1" l="1"/>
  <c r="BU28" i="1"/>
  <c r="BS28" i="1"/>
  <c r="BR34" i="1"/>
  <c r="BS34" i="1"/>
  <c r="BU34" i="1"/>
  <c r="BU37" i="1"/>
  <c r="BR37" i="1"/>
  <c r="BS37" i="1"/>
  <c r="BU32" i="1"/>
  <c r="BS32" i="1"/>
  <c r="BR32" i="1"/>
  <c r="BU43" i="1"/>
  <c r="BS43" i="1"/>
  <c r="BR43" i="1"/>
  <c r="BS31" i="1"/>
  <c r="BR31" i="1"/>
  <c r="BU31" i="1"/>
  <c r="BU40" i="1"/>
  <c r="BS40" i="1"/>
  <c r="BR40" i="1"/>
  <c r="BH5" i="1"/>
  <c r="BI5" i="1"/>
  <c r="BH42" i="1"/>
  <c r="BI42" i="1"/>
  <c r="M6" i="1"/>
  <c r="N6" i="1" s="1"/>
  <c r="Q6" i="1" s="1"/>
  <c r="R6" i="1" s="1"/>
  <c r="U6" i="1" s="1"/>
  <c r="V6" i="1" s="1"/>
  <c r="Y6" i="1" s="1"/>
  <c r="Z6" i="1" s="1"/>
  <c r="AC6" i="1" s="1"/>
  <c r="AD6" i="1" s="1"/>
  <c r="AG6" i="1" s="1"/>
  <c r="AH6" i="1" s="1"/>
  <c r="AK6" i="1" s="1"/>
  <c r="AL6" i="1" s="1"/>
  <c r="AO6" i="1" s="1"/>
  <c r="AP6" i="1" s="1"/>
  <c r="AS6" i="1" s="1"/>
  <c r="AT6" i="1" s="1"/>
  <c r="AW6" i="1" s="1"/>
  <c r="AX6" i="1" s="1"/>
  <c r="BA6" i="1" s="1"/>
  <c r="BU5" i="1" l="1"/>
  <c r="BS5" i="1"/>
  <c r="BR5" i="1"/>
  <c r="BU42" i="1"/>
  <c r="BS42" i="1"/>
  <c r="BR42" i="1"/>
  <c r="BB6" i="1"/>
  <c r="BI6" i="1" l="1"/>
  <c r="BH6" i="1"/>
  <c r="BS6" i="1" l="1"/>
  <c r="BU6" i="1"/>
  <c r="BR6" i="1"/>
</calcChain>
</file>

<file path=xl/sharedStrings.xml><?xml version="1.0" encoding="utf-8"?>
<sst xmlns="http://schemas.openxmlformats.org/spreadsheetml/2006/main" count="168" uniqueCount="90">
  <si>
    <t>Daftar Obat Indikator</t>
  </si>
  <si>
    <t>No</t>
  </si>
  <si>
    <t>Kode Obat</t>
  </si>
  <si>
    <t>Nama Obat</t>
  </si>
  <si>
    <t>Satuan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</si>
  <si>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</si>
  <si>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</si>
  <si>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</si>
  <si>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</si>
  <si>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</si>
  <si>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</si>
  <si>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</si>
  <si>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</si>
  <si>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</si>
  <si>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</si>
  <si>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</si>
  <si>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</si>
  <si>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</si>
  <si>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</si>
  <si>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</si>
  <si>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</si>
  <si>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</si>
  <si>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</si>
  <si>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Garam Oralit Serbuk</t>
  </si>
  <si>
    <t>Bungkus</t>
  </si>
  <si>
    <t xml:space="preserve">Glimepirid 2 mg Tablet </t>
  </si>
  <si>
    <t>Haloperidol  5 mg Tablet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</si>
  <si>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</si>
  <si>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</si>
  <si>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</si>
  <si>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</si>
  <si>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</si>
  <si>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</si>
  <si>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</si>
  <si>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</si>
  <si>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</si>
  <si>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</si>
  <si>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</si>
  <si>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</si>
  <si>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>Kaplet</t>
  </si>
  <si>
    <t xml:space="preserve">Primakuin 25 mg Tablet </t>
  </si>
  <si>
    <t>Ranitidine Hydrochloride 150 mg Tablet</t>
  </si>
  <si>
    <t>Retinol Palmitate 200.000 IU Kapsul Lunak</t>
  </si>
  <si>
    <t>Salbutamol  2 mg Tablet</t>
  </si>
  <si>
    <t>Zinc Sulfate Monohydrate 20 mg Tablet Dispersible</t>
  </si>
  <si>
    <t>Penerimaan</t>
  </si>
  <si>
    <t>Pemakaian</t>
  </si>
  <si>
    <t>Stok Akhir</t>
  </si>
  <si>
    <t>Harga</t>
  </si>
  <si>
    <t>Januari</t>
  </si>
  <si>
    <t>SA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</si>
  <si>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</si>
  <si>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</si>
  <si>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</si>
  <si>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</si>
  <si>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</si>
  <si>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</si>
  <si>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</si>
  <si>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</si>
  <si>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</si>
  <si>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</si>
  <si>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</si>
  <si>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Ibuprofen 200 mg Tablet Salut Selaput</t>
  </si>
  <si>
    <t xml:space="preserve">Simvastatin 20 mg Tablet </t>
  </si>
  <si>
    <t>Diclofenac Sodium 25 mg Tablet Salut Enterik</t>
  </si>
  <si>
    <t>Retinol Palmitate 100.000 IU Kapsul Lunak</t>
  </si>
  <si>
    <t>tube</t>
  </si>
  <si>
    <t>Gentamisin salep kulit</t>
  </si>
  <si>
    <t>Gentamisin salep mata</t>
  </si>
  <si>
    <t>Fitomenadion Injeksi</t>
  </si>
  <si>
    <t>Total Penerimaan</t>
  </si>
  <si>
    <t>Total Stok  Awal</t>
  </si>
  <si>
    <t>Total Pemakaian</t>
  </si>
  <si>
    <t>Total Stok Akhir</t>
  </si>
  <si>
    <t>Total Stok</t>
  </si>
  <si>
    <t>Pemakaian Bulanan</t>
  </si>
  <si>
    <t>Tingkat Ketersediaan</t>
  </si>
  <si>
    <t>RKO</t>
  </si>
  <si>
    <t>% Ketepatan Perencanaan</t>
  </si>
  <si>
    <t>Inv Awal</t>
  </si>
  <si>
    <t>Inv On Hand</t>
  </si>
  <si>
    <t>Rata2 Ketersediaan</t>
  </si>
  <si>
    <t>Ketepatan Permintaan</t>
  </si>
  <si>
    <t>Ketepatan Penerimaan</t>
  </si>
  <si>
    <t>Ketepatan jumlah distribusi</t>
  </si>
  <si>
    <t>TOR</t>
  </si>
  <si>
    <t>Stok Mati</t>
  </si>
  <si>
    <t>Obat ED</t>
  </si>
  <si>
    <t>Kesesuaian Jumlah Fisik</t>
  </si>
  <si>
    <t>Monev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</si>
</sst>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p&quot;* #,##0.00_);_(&quot;Rp&quot;* \(#,##0.00\);_(&quot;Rp&quot;* &quot;-&quot;_);_(@_)"/>
    <numFmt numFmtId="165" formatCode="_-&quot;Rp&quot;* #,##0.00_-;\-&quot;Rp&quot;* #,##0.00_-;_-&quot;Rp&quot;* &quot;-&quot;_-;_-@_-"/>
  </numFmts>
  <fonts count="18" x14ac:knownFonts="1">
    <font>
      <sz val="12"/>
      <color theme="1"/>
      <name val="Aptos Narrow"/>
      <family val="2"/>
      <charset val="1"/>
      <scheme val="minor"/>
    </font>
    <font>
      <u/>
      <sz val="12"/>
      <color theme="10"/>
      <name val="Aptos Narrow"/>
      <family val="2"/>
      <charset val="1"/>
      <scheme val="minor"/>
    </font>
    <font>
      <b/>
      <sz val="13"/>
      <color rgb="FF000000"/>
      <name val="Calibri"/>
      <family val="2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212529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Times New Roman"/>
      <family val="1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212529"/>
      <name val="Aptos Narrow"/>
      <scheme val="minor"/>
    </font>
    <font>
      <sz val="12"/>
      <color theme="1"/>
      <name val="Aptos Narrow"/>
      <family val="2"/>
      <charset val="1"/>
      <scheme val="minor"/>
    </font>
    <font>
      <sz val="12"/>
      <color rgb="FFFF0000"/>
      <name val="Aptos Narrow"/>
      <family val="2"/>
      <charset val="1"/>
      <scheme val="minor"/>
    </font>
    <font>
      <sz val="14"/>
      <color theme="1"/>
      <name val="Aptos Narrow"/>
      <family val="2"/>
      <charset val="1"/>
      <scheme val="minor"/>
    </font>
    <font>
      <b/>
      <sz val="14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DADAD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14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6" fillId="0" borderId="1" xfId="1" applyNumberFormat="1" applyFont="1" applyBorder="1" applyAlignment="1">
      <alignment horizontal="center" vertical="top" wrapText="1"/>
    </xf>
    <xf numFmtId="0" fontId="6" fillId="0" borderId="1" xfId="1" applyNumberFormat="1" applyFont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8" fillId="3" borderId="1" xfId="0" applyFont="1" applyFill="1" applyBorder="1" applyAlignment="1">
      <alignment vertical="top"/>
    </xf>
    <xf numFmtId="0" fontId="9" fillId="4" borderId="3" xfId="0" applyFont="1" applyFill="1" applyBorder="1" applyAlignment="1">
      <alignment vertical="top"/>
    </xf>
    <xf numFmtId="165" fontId="11" fillId="0" borderId="0" xfId="0" applyNumberFormat="1" applyFont="1" applyAlignment="1">
      <alignment horizontal="right" vertical="top"/>
    </xf>
    <xf numFmtId="165" fontId="12" fillId="0" borderId="1" xfId="0" applyNumberFormat="1" applyFont="1" applyBorder="1" applyAlignment="1">
      <alignment horizontal="right" vertical="top"/>
    </xf>
    <xf numFmtId="165" fontId="13" fillId="0" borderId="1" xfId="0" applyNumberFormat="1" applyFont="1" applyBorder="1" applyAlignment="1">
      <alignment horizontal="right" vertical="top"/>
    </xf>
    <xf numFmtId="165" fontId="10" fillId="0" borderId="9" xfId="0" applyNumberFormat="1" applyFont="1" applyBorder="1" applyAlignment="1">
      <alignment horizontal="left"/>
    </xf>
    <xf numFmtId="0" fontId="0" fillId="0" borderId="1" xfId="0" applyBorder="1" applyAlignment="1">
      <alignment vertical="top"/>
    </xf>
    <xf numFmtId="165" fontId="10" fillId="0" borderId="10" xfId="0" applyNumberFormat="1" applyFont="1" applyBorder="1" applyAlignment="1">
      <alignment horizontal="left"/>
    </xf>
    <xf numFmtId="0" fontId="6" fillId="0" borderId="5" xfId="1" applyNumberFormat="1" applyFont="1" applyBorder="1" applyAlignment="1">
      <alignment horizontal="center" vertical="top"/>
    </xf>
    <xf numFmtId="165" fontId="11" fillId="0" borderId="1" xfId="0" applyNumberFormat="1" applyFont="1" applyBorder="1" applyAlignment="1">
      <alignment horizontal="right" vertical="top"/>
    </xf>
    <xf numFmtId="165" fontId="10" fillId="0" borderId="1" xfId="0" applyNumberFormat="1" applyFont="1" applyBorder="1" applyAlignment="1">
      <alignment horizontal="left"/>
    </xf>
    <xf numFmtId="165" fontId="10" fillId="0" borderId="1" xfId="0" applyNumberFormat="1" applyFont="1" applyBorder="1"/>
    <xf numFmtId="164" fontId="10" fillId="0" borderId="1" xfId="0" applyNumberFormat="1" applyFont="1" applyBorder="1"/>
    <xf numFmtId="0" fontId="9" fillId="4" borderId="1" xfId="0" applyFont="1" applyFill="1" applyBorder="1" applyAlignment="1">
      <alignment vertical="top"/>
    </xf>
    <xf numFmtId="0" fontId="9" fillId="4" borderId="0" xfId="0" applyFont="1" applyFill="1" applyAlignment="1">
      <alignment horizontal="center" vertical="top"/>
    </xf>
    <xf numFmtId="0" fontId="9" fillId="4" borderId="0" xfId="0" applyFont="1" applyFill="1" applyAlignment="1">
      <alignment vertical="top"/>
    </xf>
    <xf numFmtId="2" fontId="0" fillId="0" borderId="0" xfId="0" applyNumberFormat="1" applyAlignment="1">
      <alignment vertical="top"/>
    </xf>
    <xf numFmtId="0" fontId="16" fillId="5" borderId="0" xfId="0" applyFont="1" applyFill="1" applyAlignment="1">
      <alignment vertical="top"/>
    </xf>
    <xf numFmtId="0" fontId="17" fillId="6" borderId="0" xfId="0" applyFont="1" applyFill="1" applyAlignment="1">
      <alignment horizontal="center" vertical="top"/>
    </xf>
    <xf numFmtId="0" fontId="17" fillId="6" borderId="0" xfId="0" applyFont="1" applyFill="1" applyAlignment="1">
      <alignment vertical="top"/>
    </xf>
    <xf numFmtId="0" fontId="0" fillId="5" borderId="0" xfId="0" applyFill="1" applyAlignment="1">
      <alignment vertical="top"/>
    </xf>
    <xf numFmtId="0" fontId="15" fillId="0" borderId="0" xfId="0" applyFont="1" applyAlignment="1">
      <alignment vertical="top"/>
    </xf>
    <xf numFmtId="9" fontId="15" fillId="0" borderId="0" xfId="0" applyNumberFormat="1" applyFont="1" applyAlignment="1">
      <alignment vertical="top"/>
    </xf>
    <xf numFmtId="2" fontId="15" fillId="0" borderId="0" xfId="0" applyNumberFormat="1" applyFont="1" applyAlignment="1">
      <alignment vertical="top"/>
    </xf>
    <xf numFmtId="9" fontId="15" fillId="0" borderId="0" xfId="2" applyFont="1" applyAlignment="1">
      <alignment vertical="top"/>
    </xf>
    <xf numFmtId="10" fontId="15" fillId="0" borderId="0" xfId="2" applyNumberFormat="1" applyFont="1" applyAlignment="1">
      <alignment vertical="top"/>
    </xf>
    <xf numFmtId="0" fontId="9" fillId="4" borderId="6" xfId="0" applyFont="1" applyFill="1" applyBorder="1" applyAlignment="1">
      <alignment horizontal="center" vertical="top"/>
    </xf>
    <xf numFmtId="0" fontId="9" fillId="4" borderId="7" xfId="0" applyFont="1" applyFill="1" applyBorder="1" applyAlignment="1">
      <alignment horizontal="center" vertical="top"/>
    </xf>
    <xf numFmtId="0" fontId="9" fillId="4" borderId="8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8" fillId="3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165" fontId="9" fillId="2" borderId="1" xfId="0" applyNumberFormat="1" applyFont="1" applyFill="1" applyBorder="1" applyAlignment="1">
      <alignment horizontal="right" vertical="top"/>
    </xf>
    <xf numFmtId="0" fontId="8" fillId="3" borderId="8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center" vertical="top"/>
    </xf>
  </cellXfs>
  <cellStyles count="3">
    <cellStyle name="Hipertaut" xfId="1" builtinId="8"/>
    <cellStyle name="Normal" xfId="0" builtinId="0"/>
    <cellStyle name="Persen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573C-D5D3-ED43-AA96-266C4786E66E}">
  <dimension ref="A1:BW44"/>
  <sheetViews>
    <sheetView tabSelected="1" topLeftCell="AV1" zoomScale="69" zoomScaleNormal="80" workbookViewId="0">
      <pane ySplit="1" topLeftCell="A4" activePane="bottomLeft" state="frozen"/>
      <selection activeCell="C1" sqref="C1"/>
      <selection pane="bottomLeft" activeCell="BU46" sqref="BU46"/>
    </sheetView>
  </sheetViews>
  <sheetFormatPr baseColWidth="10" defaultColWidth="8.83203125" defaultRowHeight="16" x14ac:dyDescent="0.2"/>
  <cols>
    <col min="1" max="1" width="5" style="2" customWidth="1"/>
    <col min="2" max="2" width="14.83203125" style="2" customWidth="1"/>
    <col min="3" max="3" width="40.5" style="2" customWidth="1"/>
    <col min="4" max="4" width="17" style="1" customWidth="1"/>
    <col min="5" max="5" width="14" style="15" customWidth="1"/>
    <col min="6" max="6" width="8" style="8" customWidth="1"/>
    <col min="7" max="7" width="8.1640625" style="2" customWidth="1"/>
    <col min="8" max="8" width="13.33203125" style="2" customWidth="1"/>
    <col min="9" max="9" width="11.83203125" style="2" customWidth="1"/>
    <col min="10" max="54" width="8.83203125" style="2" customWidth="1"/>
    <col min="55" max="57" width="14.1640625" style="33" customWidth="1"/>
    <col min="58" max="58" width="11" style="2" customWidth="1"/>
    <col min="59" max="59" width="11.1640625" style="2" customWidth="1"/>
    <col min="60" max="62" width="8.83203125" style="2" customWidth="1"/>
    <col min="63" max="63" width="9.6640625" style="2" customWidth="1"/>
    <col min="64" max="64" width="8.83203125" style="2" customWidth="1"/>
    <col min="65" max="65" width="8.83203125" style="2"/>
    <col min="66" max="66" width="9.1640625" style="34" bestFit="1" customWidth="1"/>
    <col min="67" max="67" width="14" style="34" customWidth="1"/>
    <col min="68" max="68" width="14.6640625" style="34" customWidth="1"/>
    <col min="69" max="75" width="8.83203125" style="34"/>
    <col min="76" max="16384" width="8.83203125" style="2"/>
  </cols>
  <sheetData>
    <row r="1" spans="1:75" ht="19" x14ac:dyDescent="0.2">
      <c r="A1" s="42" t="s">
        <v>0</v>
      </c>
      <c r="B1" s="43"/>
      <c r="C1" s="43"/>
      <c r="BC1" s="30"/>
      <c r="BD1" s="30"/>
      <c r="BE1" s="30"/>
    </row>
    <row r="2" spans="1:75" ht="19" customHeight="1" x14ac:dyDescent="0.2">
      <c r="A2" s="45" t="s">
        <v>1</v>
      </c>
      <c r="B2" s="47" t="s">
        <v>2</v>
      </c>
      <c r="C2" s="47" t="s">
        <v>3</v>
      </c>
      <c r="D2" s="47" t="s">
        <v>4</v>
      </c>
      <c r="E2" s="49" t="s">
        <v>48</v>
      </c>
      <c r="F2" s="44" t="s">
        <v>49</v>
      </c>
      <c r="G2" s="44"/>
      <c r="H2" s="44"/>
      <c r="I2" s="44"/>
      <c r="J2" s="44" t="s">
        <v>51</v>
      </c>
      <c r="K2" s="44"/>
      <c r="L2" s="44"/>
      <c r="M2" s="44"/>
      <c r="N2" s="44" t="s">
        <v>52</v>
      </c>
      <c r="O2" s="44"/>
      <c r="P2" s="44"/>
      <c r="Q2" s="44"/>
      <c r="R2" s="50" t="s">
        <v>53</v>
      </c>
      <c r="S2" s="44"/>
      <c r="T2" s="44"/>
      <c r="U2" s="44"/>
      <c r="V2" s="39" t="s">
        <v>54</v>
      </c>
      <c r="W2" s="40"/>
      <c r="X2" s="40"/>
      <c r="Y2" s="41"/>
      <c r="Z2" s="39" t="s">
        <v>55</v>
      </c>
      <c r="AA2" s="40"/>
      <c r="AB2" s="40"/>
      <c r="AC2" s="41"/>
      <c r="AD2" s="39" t="s">
        <v>56</v>
      </c>
      <c r="AE2" s="40"/>
      <c r="AF2" s="40"/>
      <c r="AG2" s="41"/>
      <c r="AH2" s="39" t="s">
        <v>57</v>
      </c>
      <c r="AI2" s="40"/>
      <c r="AJ2" s="40"/>
      <c r="AK2" s="41"/>
      <c r="AL2" s="39" t="s">
        <v>58</v>
      </c>
      <c r="AM2" s="40"/>
      <c r="AN2" s="40"/>
      <c r="AO2" s="40"/>
      <c r="AP2" s="51" t="s">
        <v>59</v>
      </c>
      <c r="AQ2" s="51"/>
      <c r="AR2" s="51"/>
      <c r="AS2" s="51"/>
      <c r="AT2" s="51" t="s">
        <v>60</v>
      </c>
      <c r="AU2" s="51"/>
      <c r="AV2" s="51"/>
      <c r="AW2" s="51"/>
      <c r="AX2" s="51" t="s">
        <v>61</v>
      </c>
      <c r="AY2" s="51"/>
      <c r="AZ2" s="51"/>
      <c r="BA2" s="51"/>
      <c r="BB2" s="27" t="s">
        <v>71</v>
      </c>
      <c r="BC2" s="31" t="s">
        <v>79</v>
      </c>
      <c r="BD2" s="31" t="s">
        <v>80</v>
      </c>
      <c r="BE2" s="31" t="s">
        <v>81</v>
      </c>
      <c r="BF2" s="2" t="s">
        <v>70</v>
      </c>
      <c r="BG2" s="2" t="s">
        <v>72</v>
      </c>
      <c r="BH2" s="2" t="s">
        <v>73</v>
      </c>
      <c r="BI2" s="2" t="s">
        <v>74</v>
      </c>
      <c r="BJ2" s="2" t="s">
        <v>75</v>
      </c>
      <c r="BK2" s="2" t="s">
        <v>87</v>
      </c>
      <c r="BM2" s="2" t="s">
        <v>77</v>
      </c>
      <c r="BN2" s="34" t="s">
        <v>78</v>
      </c>
      <c r="BO2" s="34" t="s">
        <v>82</v>
      </c>
      <c r="BP2" s="34" t="s">
        <v>83</v>
      </c>
      <c r="BQ2" s="34" t="s">
        <v>84</v>
      </c>
      <c r="BR2" s="34" t="s">
        <v>85</v>
      </c>
      <c r="BS2" s="34" t="s">
        <v>76</v>
      </c>
      <c r="BT2" s="34" t="s">
        <v>86</v>
      </c>
      <c r="BU2" s="34" t="s">
        <v>87</v>
      </c>
      <c r="BV2" s="34" t="s">
        <v>88</v>
      </c>
      <c r="BW2" s="34" t="s">
        <v>89</v>
      </c>
    </row>
    <row r="3" spans="1:75" ht="19" x14ac:dyDescent="0.2">
      <c r="A3" s="46"/>
      <c r="B3" s="48"/>
      <c r="C3" s="48"/>
      <c r="D3" s="48"/>
      <c r="E3" s="49"/>
      <c r="F3" s="9" t="s">
        <v>50</v>
      </c>
      <c r="G3" s="13" t="s">
        <v>45</v>
      </c>
      <c r="H3" s="13" t="s">
        <v>46</v>
      </c>
      <c r="I3" s="13" t="s">
        <v>47</v>
      </c>
      <c r="J3" s="9" t="s">
        <v>50</v>
      </c>
      <c r="K3" s="13" t="s">
        <v>45</v>
      </c>
      <c r="L3" s="13" t="s">
        <v>46</v>
      </c>
      <c r="M3" s="13" t="s">
        <v>47</v>
      </c>
      <c r="N3" s="9" t="s">
        <v>50</v>
      </c>
      <c r="O3" s="13" t="s">
        <v>45</v>
      </c>
      <c r="P3" s="13" t="s">
        <v>46</v>
      </c>
      <c r="Q3" s="13" t="s">
        <v>47</v>
      </c>
      <c r="R3" s="9" t="s">
        <v>50</v>
      </c>
      <c r="S3" s="13" t="s">
        <v>45</v>
      </c>
      <c r="T3" s="13" t="s">
        <v>46</v>
      </c>
      <c r="U3" s="13" t="s">
        <v>47</v>
      </c>
      <c r="V3" s="3" t="s">
        <v>50</v>
      </c>
      <c r="W3" s="26" t="s">
        <v>45</v>
      </c>
      <c r="X3" s="26" t="s">
        <v>46</v>
      </c>
      <c r="Y3" s="26" t="s">
        <v>47</v>
      </c>
      <c r="Z3" s="3" t="s">
        <v>50</v>
      </c>
      <c r="AA3" s="26" t="s">
        <v>45</v>
      </c>
      <c r="AB3" s="26" t="s">
        <v>46</v>
      </c>
      <c r="AC3" s="26" t="s">
        <v>47</v>
      </c>
      <c r="AD3" s="3" t="s">
        <v>50</v>
      </c>
      <c r="AE3" s="14" t="s">
        <v>45</v>
      </c>
      <c r="AF3" s="14" t="s">
        <v>46</v>
      </c>
      <c r="AG3" s="14" t="s">
        <v>47</v>
      </c>
      <c r="AH3" s="12" t="s">
        <v>50</v>
      </c>
      <c r="AI3" s="26" t="s">
        <v>45</v>
      </c>
      <c r="AJ3" s="26" t="s">
        <v>46</v>
      </c>
      <c r="AK3" s="26" t="s">
        <v>47</v>
      </c>
      <c r="AL3" s="3" t="s">
        <v>50</v>
      </c>
      <c r="AM3" s="26" t="s">
        <v>45</v>
      </c>
      <c r="AN3" s="26" t="s">
        <v>46</v>
      </c>
      <c r="AO3" s="26" t="s">
        <v>47</v>
      </c>
      <c r="AP3" s="3" t="s">
        <v>50</v>
      </c>
      <c r="AQ3" s="26" t="s">
        <v>45</v>
      </c>
      <c r="AR3" s="26" t="s">
        <v>46</v>
      </c>
      <c r="AS3" s="26" t="s">
        <v>47</v>
      </c>
      <c r="AT3" s="3" t="s">
        <v>50</v>
      </c>
      <c r="AU3" s="26" t="s">
        <v>45</v>
      </c>
      <c r="AV3" s="26" t="s">
        <v>46</v>
      </c>
      <c r="AW3" s="26" t="s">
        <v>47</v>
      </c>
      <c r="AX3" s="3" t="s">
        <v>50</v>
      </c>
      <c r="AY3" s="26" t="s">
        <v>45</v>
      </c>
      <c r="AZ3" s="26" t="s">
        <v>46</v>
      </c>
      <c r="BA3" s="26" t="s">
        <v>47</v>
      </c>
      <c r="BB3" s="28"/>
      <c r="BC3" s="32"/>
      <c r="BD3" s="32"/>
      <c r="BE3" s="32"/>
    </row>
    <row r="4" spans="1:75" ht="19" x14ac:dyDescent="0.2">
      <c r="A4" s="4">
        <v>1</v>
      </c>
      <c r="B4" s="5">
        <v>92000146</v>
      </c>
      <c r="C4" s="4" t="s">
        <v>5</v>
      </c>
      <c r="D4" s="6" t="s">
        <v>6</v>
      </c>
      <c r="E4" s="16">
        <v>457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9">
        <v>200</v>
      </c>
      <c r="P4" s="19">
        <v>0</v>
      </c>
      <c r="Q4" s="19">
        <f>N4+O4-P4</f>
        <v>200</v>
      </c>
      <c r="R4" s="19">
        <f>Q4</f>
        <v>200</v>
      </c>
      <c r="S4" s="19"/>
      <c r="T4" s="19">
        <v>0</v>
      </c>
      <c r="U4" s="19">
        <f>R4+S4-T4</f>
        <v>200</v>
      </c>
      <c r="V4" s="19">
        <f>U4</f>
        <v>200</v>
      </c>
      <c r="W4" s="19">
        <v>1000</v>
      </c>
      <c r="X4" s="19">
        <v>1000</v>
      </c>
      <c r="Y4" s="19">
        <f>V4+W4-X4</f>
        <v>200</v>
      </c>
      <c r="Z4" s="19">
        <f>Y4</f>
        <v>200</v>
      </c>
      <c r="AA4" s="19">
        <v>4000</v>
      </c>
      <c r="AB4" s="19">
        <v>4000</v>
      </c>
      <c r="AC4" s="19">
        <f>Z4+AA4-AB4</f>
        <v>200</v>
      </c>
      <c r="AD4" s="19">
        <f>AC4</f>
        <v>200</v>
      </c>
      <c r="AE4" s="19"/>
      <c r="AF4" s="19">
        <v>2</v>
      </c>
      <c r="AG4" s="19">
        <f>AD4+AE4-AF4</f>
        <v>198</v>
      </c>
      <c r="AH4" s="19">
        <f>AG4</f>
        <v>198</v>
      </c>
      <c r="AI4" s="19"/>
      <c r="AJ4" s="19">
        <v>2</v>
      </c>
      <c r="AK4" s="19">
        <f>AH4+AI4-AJ4</f>
        <v>196</v>
      </c>
      <c r="AL4" s="19">
        <f>AK4</f>
        <v>196</v>
      </c>
      <c r="AM4" s="19"/>
      <c r="AN4" s="19">
        <v>0</v>
      </c>
      <c r="AO4" s="19">
        <f>AL4+AM4-AN4</f>
        <v>196</v>
      </c>
      <c r="AP4" s="19">
        <f>AO4</f>
        <v>196</v>
      </c>
      <c r="AQ4" s="19">
        <v>5000</v>
      </c>
      <c r="AR4" s="19">
        <v>5003</v>
      </c>
      <c r="AS4" s="19">
        <f>AP4+AQ4-AR4</f>
        <v>193</v>
      </c>
      <c r="AT4" s="19">
        <f>AS4</f>
        <v>193</v>
      </c>
      <c r="AU4" s="19"/>
      <c r="AV4" s="19">
        <v>0</v>
      </c>
      <c r="AW4" s="19">
        <f>AT4+AU4-AV4</f>
        <v>193</v>
      </c>
      <c r="AX4" s="19">
        <f>AW4</f>
        <v>193</v>
      </c>
      <c r="AY4" s="19"/>
      <c r="AZ4" s="19">
        <v>9</v>
      </c>
      <c r="BA4" s="19">
        <f>AX4+AY4-AZ4</f>
        <v>184</v>
      </c>
      <c r="BB4" s="2">
        <f>F4+J4+N4+R4+V4+Z4+AD4+AH4+AL4+AP4+AT4+AX4</f>
        <v>1776</v>
      </c>
      <c r="BC4" s="30">
        <v>200</v>
      </c>
      <c r="BD4" s="30">
        <f>(BC4+BF4)-BG4</f>
        <v>384</v>
      </c>
      <c r="BE4" s="30">
        <f>(BC4+BD4)/2</f>
        <v>292</v>
      </c>
      <c r="BF4" s="2">
        <f>G4+K4+O4+S4+W4+AA4+AE4+AI4+AM4+AQ4+AU4+AY4</f>
        <v>10200</v>
      </c>
      <c r="BG4" s="2">
        <f>H4+L4+P4+T4+X4+AB4+AF4+AJ4+AN4+AR4+AV4+AZ4</f>
        <v>10016</v>
      </c>
      <c r="BH4" s="2">
        <f t="shared" ref="BH4:BH44" si="0">BB4+BF4-BG4</f>
        <v>1960</v>
      </c>
      <c r="BI4" s="2">
        <f t="shared" ref="BI4:BI44" si="1">BB4+BF4</f>
        <v>11976</v>
      </c>
      <c r="BJ4" s="2">
        <f>BG4/12</f>
        <v>834.66666666666663</v>
      </c>
      <c r="BK4" s="29"/>
      <c r="BM4" s="2">
        <v>0</v>
      </c>
      <c r="BN4" s="38">
        <f>BM4/BG4</f>
        <v>0</v>
      </c>
      <c r="BO4" s="35">
        <v>1</v>
      </c>
      <c r="BP4" s="35">
        <v>1</v>
      </c>
      <c r="BQ4" s="35">
        <v>1</v>
      </c>
      <c r="BR4" s="36">
        <f>BI4/BE4</f>
        <v>41.013698630136986</v>
      </c>
      <c r="BS4" s="36">
        <f t="shared" ref="BS4:BS31" si="2">BI4/BJ4</f>
        <v>14.348242811501597</v>
      </c>
      <c r="BU4" s="37">
        <f>BK4/BI4*100%</f>
        <v>0</v>
      </c>
      <c r="BV4" s="35">
        <v>1</v>
      </c>
      <c r="BW4" s="35">
        <v>1</v>
      </c>
    </row>
    <row r="5" spans="1:75" ht="19" x14ac:dyDescent="0.2">
      <c r="A5" s="4">
        <v>2</v>
      </c>
      <c r="B5" s="5">
        <v>92000281</v>
      </c>
      <c r="C5" s="4" t="s">
        <v>7</v>
      </c>
      <c r="D5" s="6" t="s">
        <v>6</v>
      </c>
      <c r="E5" s="16">
        <v>99</v>
      </c>
      <c r="F5" s="11">
        <v>1720</v>
      </c>
      <c r="G5" s="19">
        <v>0</v>
      </c>
      <c r="H5" s="19">
        <v>650</v>
      </c>
      <c r="I5" s="19">
        <f>F5+G5-H5</f>
        <v>1070</v>
      </c>
      <c r="J5" s="19">
        <f>I5</f>
        <v>1070</v>
      </c>
      <c r="K5" s="19">
        <v>4000</v>
      </c>
      <c r="L5" s="19">
        <v>590</v>
      </c>
      <c r="M5" s="19">
        <f>J5+K5-L5</f>
        <v>4480</v>
      </c>
      <c r="N5" s="19">
        <f>M5</f>
        <v>4480</v>
      </c>
      <c r="O5" s="19"/>
      <c r="P5" s="19">
        <v>500</v>
      </c>
      <c r="Q5" s="19">
        <f t="shared" ref="Q5:Q44" si="3">N5+O5-P5</f>
        <v>3980</v>
      </c>
      <c r="R5" s="19">
        <f t="shared" ref="R5:R44" si="4">Q5</f>
        <v>3980</v>
      </c>
      <c r="S5" s="19"/>
      <c r="T5" s="19">
        <v>320</v>
      </c>
      <c r="U5" s="19">
        <f t="shared" ref="U5:U44" si="5">R5+S5-T5</f>
        <v>3660</v>
      </c>
      <c r="V5" s="19">
        <f t="shared" ref="V5:V44" si="6">U5</f>
        <v>3660</v>
      </c>
      <c r="W5" s="19"/>
      <c r="X5" s="19">
        <v>640</v>
      </c>
      <c r="Y5" s="19">
        <f t="shared" ref="Y5:Y44" si="7">V5+W5-X5</f>
        <v>3020</v>
      </c>
      <c r="Z5" s="19">
        <f t="shared" ref="Z5:Z44" si="8">Y5</f>
        <v>3020</v>
      </c>
      <c r="AA5" s="19">
        <v>5000</v>
      </c>
      <c r="AB5" s="19">
        <v>500</v>
      </c>
      <c r="AC5" s="19">
        <f t="shared" ref="AC5:AC44" si="9">Z5+AA5-AB5</f>
        <v>7520</v>
      </c>
      <c r="AD5" s="19">
        <f t="shared" ref="AD5:AD44" si="10">AC5</f>
        <v>7520</v>
      </c>
      <c r="AE5" s="19"/>
      <c r="AF5" s="19">
        <v>2720</v>
      </c>
      <c r="AG5" s="19">
        <f t="shared" ref="AG5:AG44" si="11">AD5+AE5-AF5</f>
        <v>4800</v>
      </c>
      <c r="AH5" s="19">
        <f t="shared" ref="AH5:AH44" si="12">AG5</f>
        <v>4800</v>
      </c>
      <c r="AI5" s="19"/>
      <c r="AJ5" s="19">
        <v>1420</v>
      </c>
      <c r="AK5" s="19">
        <f t="shared" ref="AK5:AK44" si="13">AH5+AI5-AJ5</f>
        <v>3380</v>
      </c>
      <c r="AL5" s="19">
        <f t="shared" ref="AL5:AL44" si="14">AK5</f>
        <v>3380</v>
      </c>
      <c r="AM5" s="19">
        <v>6000</v>
      </c>
      <c r="AN5" s="19">
        <v>1160</v>
      </c>
      <c r="AO5" s="19">
        <f t="shared" ref="AO5:AO44" si="15">AL5+AM5-AN5</f>
        <v>8220</v>
      </c>
      <c r="AP5" s="19">
        <f t="shared" ref="AP5:AP44" si="16">AO5</f>
        <v>8220</v>
      </c>
      <c r="AQ5" s="19"/>
      <c r="AR5" s="19">
        <v>510</v>
      </c>
      <c r="AS5" s="19">
        <f t="shared" ref="AS5:AS44" si="17">AP5+AQ5-AR5</f>
        <v>7710</v>
      </c>
      <c r="AT5" s="19">
        <f t="shared" ref="AT5:AT44" si="18">AS5</f>
        <v>7710</v>
      </c>
      <c r="AU5" s="19"/>
      <c r="AV5" s="19">
        <v>1730</v>
      </c>
      <c r="AW5" s="19">
        <f t="shared" ref="AW5:AW44" si="19">AT5+AU5-AV5</f>
        <v>5980</v>
      </c>
      <c r="AX5" s="19">
        <f t="shared" ref="AX5:AX44" si="20">AW5</f>
        <v>5980</v>
      </c>
      <c r="AY5" s="19"/>
      <c r="AZ5" s="19">
        <v>560</v>
      </c>
      <c r="BA5" s="19">
        <f t="shared" ref="BA5:BA44" si="21">AX5+AY5-AZ5</f>
        <v>5420</v>
      </c>
      <c r="BB5" s="2">
        <f t="shared" ref="BB5:BB44" si="22">F5+J5+N5+R5+V5+Z5+AD5+AH5+AL5+AP5+AT5+AX5</f>
        <v>55540</v>
      </c>
      <c r="BC5" s="30">
        <f t="shared" ref="BC5:BC44" si="23">F5</f>
        <v>1720</v>
      </c>
      <c r="BD5" s="30">
        <f t="shared" ref="BD5:BD44" si="24">(BC5+BF5)-BG5</f>
        <v>5420</v>
      </c>
      <c r="BE5" s="30">
        <f t="shared" ref="BE5:BE44" si="25">(BC5+BD5)/2</f>
        <v>3570</v>
      </c>
      <c r="BF5" s="2">
        <f t="shared" ref="BF5:BF44" si="26">G5+K5+O5+S5+W5+AA5+AE5+AI5+AM5+AQ5+AU5+AY5</f>
        <v>15000</v>
      </c>
      <c r="BG5" s="2">
        <f t="shared" ref="BG5:BG44" si="27">H5+L5+P5+T5+X5+AB5+AF5+AJ5+AN5+AR5+AV5+AZ5</f>
        <v>11300</v>
      </c>
      <c r="BH5" s="2">
        <f t="shared" si="0"/>
        <v>59240</v>
      </c>
      <c r="BI5" s="2">
        <f t="shared" si="1"/>
        <v>70540</v>
      </c>
      <c r="BJ5" s="2">
        <f t="shared" ref="BJ5:BJ44" si="28">BG5/12</f>
        <v>941.66666666666663</v>
      </c>
      <c r="BK5" s="29"/>
      <c r="BM5" s="2">
        <v>2400</v>
      </c>
      <c r="BN5" s="38">
        <f t="shared" ref="BN5:BN44" si="29">BM5/BG5</f>
        <v>0.21238938053097345</v>
      </c>
      <c r="BO5" s="35">
        <v>1</v>
      </c>
      <c r="BP5" s="35">
        <v>1</v>
      </c>
      <c r="BQ5" s="35">
        <v>1</v>
      </c>
      <c r="BR5" s="36">
        <f t="shared" ref="BR5:BR44" si="30">BI5/BE5</f>
        <v>19.759103641456583</v>
      </c>
      <c r="BS5" s="36">
        <f t="shared" si="2"/>
        <v>74.909734513274344</v>
      </c>
      <c r="BU5" s="37">
        <f t="shared" ref="BU5:BU44" si="31">BK5/BI5*100%</f>
        <v>0</v>
      </c>
      <c r="BV5" s="35">
        <v>1</v>
      </c>
      <c r="BW5" s="35">
        <v>1</v>
      </c>
    </row>
    <row r="6" spans="1:75" ht="19" x14ac:dyDescent="0.2">
      <c r="A6" s="4">
        <v>3</v>
      </c>
      <c r="B6" s="5">
        <v>92000407</v>
      </c>
      <c r="C6" s="4" t="s">
        <v>8</v>
      </c>
      <c r="D6" s="6" t="s">
        <v>6</v>
      </c>
      <c r="E6" s="16">
        <v>78.709999999999994</v>
      </c>
      <c r="F6" s="11">
        <f>2620+4620+2000</f>
        <v>9240</v>
      </c>
      <c r="G6" s="19"/>
      <c r="H6" s="19">
        <v>5790</v>
      </c>
      <c r="I6" s="19">
        <f t="shared" ref="I6:I44" si="32">F6+G6-H6</f>
        <v>3450</v>
      </c>
      <c r="J6" s="19">
        <f t="shared" ref="J6:J44" si="33">I6</f>
        <v>3450</v>
      </c>
      <c r="K6" s="19"/>
      <c r="L6" s="19">
        <v>1180</v>
      </c>
      <c r="M6" s="19">
        <f t="shared" ref="M6:M44" si="34">J6+K6-L6</f>
        <v>2270</v>
      </c>
      <c r="N6" s="19">
        <f>M6</f>
        <v>2270</v>
      </c>
      <c r="O6" s="19"/>
      <c r="P6" s="19">
        <v>1180</v>
      </c>
      <c r="Q6" s="19">
        <f t="shared" si="3"/>
        <v>1090</v>
      </c>
      <c r="R6" s="19">
        <f t="shared" si="4"/>
        <v>1090</v>
      </c>
      <c r="S6" s="19"/>
      <c r="T6" s="19">
        <v>990</v>
      </c>
      <c r="U6" s="19">
        <f t="shared" si="5"/>
        <v>100</v>
      </c>
      <c r="V6" s="19">
        <f t="shared" si="6"/>
        <v>100</v>
      </c>
      <c r="W6" s="19"/>
      <c r="X6" s="19">
        <v>100</v>
      </c>
      <c r="Y6" s="19">
        <f t="shared" si="7"/>
        <v>0</v>
      </c>
      <c r="Z6" s="19">
        <f t="shared" si="8"/>
        <v>0</v>
      </c>
      <c r="AA6" s="19">
        <v>5000</v>
      </c>
      <c r="AB6" s="19">
        <v>1210</v>
      </c>
      <c r="AC6" s="19">
        <f t="shared" si="9"/>
        <v>3790</v>
      </c>
      <c r="AD6" s="19">
        <f t="shared" si="10"/>
        <v>3790</v>
      </c>
      <c r="AE6" s="19"/>
      <c r="AF6" s="19">
        <v>810</v>
      </c>
      <c r="AG6" s="19">
        <f t="shared" si="11"/>
        <v>2980</v>
      </c>
      <c r="AH6" s="19">
        <f t="shared" si="12"/>
        <v>2980</v>
      </c>
      <c r="AI6" s="19"/>
      <c r="AJ6" s="19">
        <v>1650</v>
      </c>
      <c r="AK6" s="19">
        <f t="shared" si="13"/>
        <v>1330</v>
      </c>
      <c r="AL6" s="19">
        <f t="shared" si="14"/>
        <v>1330</v>
      </c>
      <c r="AM6" s="19">
        <v>5000</v>
      </c>
      <c r="AN6" s="19">
        <v>980</v>
      </c>
      <c r="AO6" s="19">
        <f t="shared" si="15"/>
        <v>5350</v>
      </c>
      <c r="AP6" s="19">
        <f t="shared" si="16"/>
        <v>5350</v>
      </c>
      <c r="AQ6" s="19"/>
      <c r="AR6" s="19">
        <v>1840</v>
      </c>
      <c r="AS6" s="19">
        <f t="shared" si="17"/>
        <v>3510</v>
      </c>
      <c r="AT6" s="19">
        <f t="shared" si="18"/>
        <v>3510</v>
      </c>
      <c r="AU6" s="19"/>
      <c r="AV6" s="19">
        <v>1010</v>
      </c>
      <c r="AW6" s="19">
        <f t="shared" si="19"/>
        <v>2500</v>
      </c>
      <c r="AX6" s="19">
        <f t="shared" si="20"/>
        <v>2500</v>
      </c>
      <c r="AY6" s="19"/>
      <c r="AZ6" s="19">
        <v>710</v>
      </c>
      <c r="BA6" s="19">
        <f t="shared" si="21"/>
        <v>1790</v>
      </c>
      <c r="BB6" s="2">
        <f t="shared" si="22"/>
        <v>35610</v>
      </c>
      <c r="BC6" s="30">
        <f t="shared" si="23"/>
        <v>9240</v>
      </c>
      <c r="BD6" s="30">
        <f t="shared" si="24"/>
        <v>1790</v>
      </c>
      <c r="BE6" s="30">
        <f t="shared" si="25"/>
        <v>5515</v>
      </c>
      <c r="BF6" s="2">
        <f t="shared" si="26"/>
        <v>10000</v>
      </c>
      <c r="BG6" s="2">
        <f t="shared" si="27"/>
        <v>17450</v>
      </c>
      <c r="BH6" s="2">
        <f t="shared" si="0"/>
        <v>28160</v>
      </c>
      <c r="BI6" s="2">
        <f t="shared" si="1"/>
        <v>45610</v>
      </c>
      <c r="BJ6" s="2">
        <f t="shared" si="28"/>
        <v>1454.1666666666667</v>
      </c>
      <c r="BK6" s="29"/>
      <c r="BM6" s="2">
        <v>27500</v>
      </c>
      <c r="BN6" s="38">
        <f t="shared" si="29"/>
        <v>1.5759312320916905</v>
      </c>
      <c r="BO6" s="35">
        <v>1</v>
      </c>
      <c r="BP6" s="35">
        <v>1</v>
      </c>
      <c r="BQ6" s="35">
        <v>1</v>
      </c>
      <c r="BR6" s="36">
        <f t="shared" si="30"/>
        <v>8.2701722574796008</v>
      </c>
      <c r="BS6" s="36">
        <f t="shared" si="2"/>
        <v>31.365042979942693</v>
      </c>
      <c r="BU6" s="37">
        <f t="shared" si="31"/>
        <v>0</v>
      </c>
      <c r="BV6" s="35">
        <v>1</v>
      </c>
      <c r="BW6" s="35">
        <v>1</v>
      </c>
    </row>
    <row r="7" spans="1:75" ht="19" x14ac:dyDescent="0.2">
      <c r="A7" s="4">
        <v>4</v>
      </c>
      <c r="B7" s="5">
        <v>92001058</v>
      </c>
      <c r="C7" s="4" t="s">
        <v>9</v>
      </c>
      <c r="D7" s="6" t="s">
        <v>6</v>
      </c>
      <c r="E7" s="16">
        <v>61.55</v>
      </c>
      <c r="F7" s="11">
        <v>7620</v>
      </c>
      <c r="G7" s="19"/>
      <c r="H7" s="19">
        <v>1100</v>
      </c>
      <c r="I7" s="19">
        <f t="shared" si="32"/>
        <v>6520</v>
      </c>
      <c r="J7" s="19">
        <f t="shared" si="33"/>
        <v>6520</v>
      </c>
      <c r="K7" s="19"/>
      <c r="L7" s="19">
        <v>650</v>
      </c>
      <c r="M7" s="19">
        <f t="shared" si="34"/>
        <v>5870</v>
      </c>
      <c r="N7" s="19">
        <f t="shared" ref="N7:N44" si="35">M7</f>
        <v>5870</v>
      </c>
      <c r="O7" s="19"/>
      <c r="P7" s="19">
        <v>850</v>
      </c>
      <c r="Q7" s="19">
        <f t="shared" si="3"/>
        <v>5020</v>
      </c>
      <c r="R7" s="19">
        <f t="shared" si="4"/>
        <v>5020</v>
      </c>
      <c r="S7" s="19"/>
      <c r="T7" s="19">
        <v>850</v>
      </c>
      <c r="U7" s="19">
        <f t="shared" si="5"/>
        <v>4170</v>
      </c>
      <c r="V7" s="19">
        <f t="shared" si="6"/>
        <v>4170</v>
      </c>
      <c r="W7" s="19"/>
      <c r="X7" s="19">
        <v>1900</v>
      </c>
      <c r="Y7" s="19">
        <f t="shared" si="7"/>
        <v>2270</v>
      </c>
      <c r="Z7" s="19">
        <f t="shared" si="8"/>
        <v>2270</v>
      </c>
      <c r="AA7" s="19">
        <v>4000</v>
      </c>
      <c r="AB7" s="19">
        <v>1440</v>
      </c>
      <c r="AC7" s="19">
        <f t="shared" si="9"/>
        <v>4830</v>
      </c>
      <c r="AD7" s="19">
        <f t="shared" si="10"/>
        <v>4830</v>
      </c>
      <c r="AE7" s="19"/>
      <c r="AF7" s="19">
        <v>1560</v>
      </c>
      <c r="AG7" s="19">
        <f t="shared" si="11"/>
        <v>3270</v>
      </c>
      <c r="AH7" s="19">
        <f t="shared" si="12"/>
        <v>3270</v>
      </c>
      <c r="AI7" s="19"/>
      <c r="AJ7" s="19">
        <v>2140</v>
      </c>
      <c r="AK7" s="19">
        <f t="shared" si="13"/>
        <v>1130</v>
      </c>
      <c r="AL7" s="19">
        <f t="shared" si="14"/>
        <v>1130</v>
      </c>
      <c r="AM7" s="19">
        <v>13600</v>
      </c>
      <c r="AN7" s="19">
        <v>1750</v>
      </c>
      <c r="AO7" s="19">
        <f t="shared" si="15"/>
        <v>12980</v>
      </c>
      <c r="AP7" s="19">
        <f t="shared" si="16"/>
        <v>12980</v>
      </c>
      <c r="AQ7" s="19"/>
      <c r="AR7" s="19">
        <v>2420</v>
      </c>
      <c r="AS7" s="19">
        <f t="shared" si="17"/>
        <v>10560</v>
      </c>
      <c r="AT7" s="19">
        <f t="shared" si="18"/>
        <v>10560</v>
      </c>
      <c r="AU7" s="19"/>
      <c r="AV7" s="19">
        <v>1820</v>
      </c>
      <c r="AW7" s="19">
        <f t="shared" si="19"/>
        <v>8740</v>
      </c>
      <c r="AX7" s="19">
        <f t="shared" si="20"/>
        <v>8740</v>
      </c>
      <c r="AY7" s="19"/>
      <c r="AZ7" s="19">
        <v>2000</v>
      </c>
      <c r="BA7" s="19">
        <f t="shared" si="21"/>
        <v>6740</v>
      </c>
      <c r="BB7" s="2">
        <f t="shared" si="22"/>
        <v>72980</v>
      </c>
      <c r="BC7" s="30">
        <f t="shared" si="23"/>
        <v>7620</v>
      </c>
      <c r="BD7" s="30">
        <f t="shared" si="24"/>
        <v>6740</v>
      </c>
      <c r="BE7" s="30">
        <f t="shared" si="25"/>
        <v>7180</v>
      </c>
      <c r="BF7" s="2">
        <f t="shared" si="26"/>
        <v>17600</v>
      </c>
      <c r="BG7" s="2">
        <f t="shared" si="27"/>
        <v>18480</v>
      </c>
      <c r="BH7" s="2">
        <f t="shared" si="0"/>
        <v>72100</v>
      </c>
      <c r="BI7" s="2">
        <f t="shared" si="1"/>
        <v>90580</v>
      </c>
      <c r="BJ7" s="2">
        <f t="shared" si="28"/>
        <v>1540</v>
      </c>
      <c r="BK7" s="29"/>
      <c r="BM7" s="2">
        <v>15000</v>
      </c>
      <c r="BN7" s="38">
        <f t="shared" si="29"/>
        <v>0.81168831168831168</v>
      </c>
      <c r="BO7" s="35">
        <v>1</v>
      </c>
      <c r="BP7" s="35">
        <v>1</v>
      </c>
      <c r="BQ7" s="35">
        <v>1</v>
      </c>
      <c r="BR7" s="36">
        <f t="shared" si="30"/>
        <v>12.615598885793872</v>
      </c>
      <c r="BS7" s="36">
        <f t="shared" si="2"/>
        <v>58.81818181818182</v>
      </c>
      <c r="BU7" s="37">
        <f t="shared" si="31"/>
        <v>0</v>
      </c>
      <c r="BV7" s="35">
        <v>1</v>
      </c>
      <c r="BW7" s="35">
        <v>1</v>
      </c>
    </row>
    <row r="8" spans="1:75" ht="19" x14ac:dyDescent="0.2">
      <c r="A8" s="4">
        <v>5</v>
      </c>
      <c r="B8" s="5">
        <v>92000881</v>
      </c>
      <c r="C8" s="4" t="s">
        <v>10</v>
      </c>
      <c r="D8" s="6" t="s">
        <v>6</v>
      </c>
      <c r="E8" s="16">
        <v>251</v>
      </c>
      <c r="F8" s="11">
        <v>19190</v>
      </c>
      <c r="G8" s="19"/>
      <c r="H8" s="19">
        <v>3160</v>
      </c>
      <c r="I8" s="19">
        <f t="shared" si="32"/>
        <v>16030</v>
      </c>
      <c r="J8" s="19">
        <f t="shared" si="33"/>
        <v>16030</v>
      </c>
      <c r="K8" s="19"/>
      <c r="L8" s="19">
        <v>3870</v>
      </c>
      <c r="M8" s="19">
        <f t="shared" si="34"/>
        <v>12160</v>
      </c>
      <c r="N8" s="19">
        <f t="shared" si="35"/>
        <v>12160</v>
      </c>
      <c r="O8" s="19"/>
      <c r="P8" s="19">
        <v>1740</v>
      </c>
      <c r="Q8" s="19">
        <f t="shared" si="3"/>
        <v>10420</v>
      </c>
      <c r="R8" s="19">
        <f t="shared" si="4"/>
        <v>10420</v>
      </c>
      <c r="S8" s="19"/>
      <c r="T8" s="19">
        <v>2400</v>
      </c>
      <c r="U8" s="19">
        <f t="shared" si="5"/>
        <v>8020</v>
      </c>
      <c r="V8" s="19">
        <f t="shared" si="6"/>
        <v>8020</v>
      </c>
      <c r="W8" s="19"/>
      <c r="X8" s="19">
        <v>2180</v>
      </c>
      <c r="Y8" s="19">
        <f t="shared" si="7"/>
        <v>5840</v>
      </c>
      <c r="Z8" s="19">
        <f t="shared" si="8"/>
        <v>5840</v>
      </c>
      <c r="AA8" s="19">
        <v>10000</v>
      </c>
      <c r="AB8" s="19">
        <v>1200</v>
      </c>
      <c r="AC8" s="19">
        <f t="shared" si="9"/>
        <v>14640</v>
      </c>
      <c r="AD8" s="19">
        <f t="shared" si="10"/>
        <v>14640</v>
      </c>
      <c r="AE8" s="19"/>
      <c r="AF8" s="19">
        <v>1390</v>
      </c>
      <c r="AG8" s="19">
        <f t="shared" si="11"/>
        <v>13250</v>
      </c>
      <c r="AH8" s="19">
        <f t="shared" si="12"/>
        <v>13250</v>
      </c>
      <c r="AI8" s="19"/>
      <c r="AJ8" s="19">
        <v>2580</v>
      </c>
      <c r="AK8" s="19">
        <f t="shared" si="13"/>
        <v>10670</v>
      </c>
      <c r="AL8" s="19">
        <f t="shared" si="14"/>
        <v>10670</v>
      </c>
      <c r="AM8" s="19">
        <v>20000</v>
      </c>
      <c r="AN8" s="19">
        <v>1440</v>
      </c>
      <c r="AO8" s="19">
        <f t="shared" si="15"/>
        <v>29230</v>
      </c>
      <c r="AP8" s="19">
        <f t="shared" si="16"/>
        <v>29230</v>
      </c>
      <c r="AQ8" s="19"/>
      <c r="AR8" s="19">
        <v>2410</v>
      </c>
      <c r="AS8" s="19">
        <f t="shared" si="17"/>
        <v>26820</v>
      </c>
      <c r="AT8" s="19">
        <f t="shared" si="18"/>
        <v>26820</v>
      </c>
      <c r="AU8" s="19"/>
      <c r="AV8" s="19">
        <v>2680</v>
      </c>
      <c r="AW8" s="19">
        <f t="shared" si="19"/>
        <v>24140</v>
      </c>
      <c r="AX8" s="19">
        <f t="shared" si="20"/>
        <v>24140</v>
      </c>
      <c r="AY8" s="19"/>
      <c r="AZ8" s="19">
        <v>2630</v>
      </c>
      <c r="BA8" s="19">
        <f t="shared" si="21"/>
        <v>21510</v>
      </c>
      <c r="BB8" s="2">
        <f t="shared" si="22"/>
        <v>190410</v>
      </c>
      <c r="BC8" s="30">
        <f t="shared" si="23"/>
        <v>19190</v>
      </c>
      <c r="BD8" s="30">
        <f t="shared" si="24"/>
        <v>21510</v>
      </c>
      <c r="BE8" s="30">
        <f t="shared" si="25"/>
        <v>20350</v>
      </c>
      <c r="BF8" s="2">
        <f t="shared" si="26"/>
        <v>30000</v>
      </c>
      <c r="BG8" s="2">
        <f t="shared" si="27"/>
        <v>27680</v>
      </c>
      <c r="BH8" s="2">
        <f t="shared" si="0"/>
        <v>192730</v>
      </c>
      <c r="BI8" s="2">
        <f t="shared" si="1"/>
        <v>220410</v>
      </c>
      <c r="BJ8" s="2">
        <f t="shared" si="28"/>
        <v>2306.6666666666665</v>
      </c>
      <c r="BK8" s="29"/>
      <c r="BM8" s="2">
        <v>12000</v>
      </c>
      <c r="BN8" s="38">
        <f t="shared" si="29"/>
        <v>0.43352601156069365</v>
      </c>
      <c r="BO8" s="35">
        <v>1</v>
      </c>
      <c r="BP8" s="35">
        <v>1</v>
      </c>
      <c r="BQ8" s="35">
        <v>1</v>
      </c>
      <c r="BR8" s="36">
        <f t="shared" si="30"/>
        <v>10.830958230958231</v>
      </c>
      <c r="BS8" s="36">
        <f t="shared" si="2"/>
        <v>95.553468208092497</v>
      </c>
      <c r="BU8" s="37">
        <f t="shared" si="31"/>
        <v>0</v>
      </c>
      <c r="BV8" s="35">
        <v>1</v>
      </c>
      <c r="BW8" s="35">
        <v>1</v>
      </c>
    </row>
    <row r="9" spans="1:75" ht="19" x14ac:dyDescent="0.2">
      <c r="A9" s="4">
        <v>6</v>
      </c>
      <c r="B9" s="5">
        <v>92000798</v>
      </c>
      <c r="C9" s="4" t="s">
        <v>11</v>
      </c>
      <c r="D9" s="6" t="s">
        <v>6</v>
      </c>
      <c r="E9" s="16">
        <v>55</v>
      </c>
      <c r="F9" s="11">
        <v>17510</v>
      </c>
      <c r="G9" s="19"/>
      <c r="H9" s="19">
        <v>2920</v>
      </c>
      <c r="I9" s="19">
        <f t="shared" si="32"/>
        <v>14590</v>
      </c>
      <c r="J9" s="19">
        <f t="shared" si="33"/>
        <v>14590</v>
      </c>
      <c r="K9" s="19"/>
      <c r="L9" s="19">
        <v>2550</v>
      </c>
      <c r="M9" s="19">
        <f t="shared" si="34"/>
        <v>12040</v>
      </c>
      <c r="N9" s="19">
        <f t="shared" si="35"/>
        <v>12040</v>
      </c>
      <c r="O9" s="19"/>
      <c r="P9" s="19">
        <v>2060</v>
      </c>
      <c r="Q9" s="19">
        <f t="shared" si="3"/>
        <v>9980</v>
      </c>
      <c r="R9" s="19">
        <f t="shared" si="4"/>
        <v>9980</v>
      </c>
      <c r="S9" s="19"/>
      <c r="T9" s="19">
        <v>1650</v>
      </c>
      <c r="U9" s="19">
        <f t="shared" si="5"/>
        <v>8330</v>
      </c>
      <c r="V9" s="19">
        <f t="shared" si="6"/>
        <v>8330</v>
      </c>
      <c r="W9" s="19"/>
      <c r="X9" s="19">
        <v>2340</v>
      </c>
      <c r="Y9" s="19">
        <f t="shared" si="7"/>
        <v>5990</v>
      </c>
      <c r="Z9" s="19">
        <f t="shared" si="8"/>
        <v>5990</v>
      </c>
      <c r="AA9" s="19"/>
      <c r="AB9" s="19">
        <v>790</v>
      </c>
      <c r="AC9" s="19">
        <f t="shared" si="9"/>
        <v>5200</v>
      </c>
      <c r="AD9" s="19">
        <f t="shared" si="10"/>
        <v>5200</v>
      </c>
      <c r="AE9" s="19">
        <v>16800</v>
      </c>
      <c r="AF9" s="19">
        <v>5200</v>
      </c>
      <c r="AG9" s="19">
        <f t="shared" si="11"/>
        <v>16800</v>
      </c>
      <c r="AH9" s="19">
        <f t="shared" si="12"/>
        <v>16800</v>
      </c>
      <c r="AI9" s="19"/>
      <c r="AJ9" s="19">
        <v>3000</v>
      </c>
      <c r="AK9" s="19">
        <f t="shared" si="13"/>
        <v>13800</v>
      </c>
      <c r="AL9" s="19">
        <f t="shared" si="14"/>
        <v>13800</v>
      </c>
      <c r="AM9" s="19"/>
      <c r="AN9" s="19">
        <v>2560</v>
      </c>
      <c r="AO9" s="19">
        <f t="shared" si="15"/>
        <v>11240</v>
      </c>
      <c r="AP9" s="19">
        <f t="shared" si="16"/>
        <v>11240</v>
      </c>
      <c r="AQ9" s="19"/>
      <c r="AR9" s="19">
        <v>2270</v>
      </c>
      <c r="AS9" s="19">
        <f t="shared" si="17"/>
        <v>8970</v>
      </c>
      <c r="AT9" s="19">
        <f t="shared" si="18"/>
        <v>8970</v>
      </c>
      <c r="AU9" s="19"/>
      <c r="AV9" s="19">
        <v>2700</v>
      </c>
      <c r="AW9" s="19">
        <f t="shared" si="19"/>
        <v>6270</v>
      </c>
      <c r="AX9" s="19">
        <f t="shared" si="20"/>
        <v>6270</v>
      </c>
      <c r="AY9" s="19">
        <v>10000</v>
      </c>
      <c r="AZ9" s="19">
        <v>2590</v>
      </c>
      <c r="BA9" s="19">
        <f t="shared" si="21"/>
        <v>13680</v>
      </c>
      <c r="BB9" s="2">
        <f t="shared" si="22"/>
        <v>130720</v>
      </c>
      <c r="BC9" s="30">
        <f t="shared" si="23"/>
        <v>17510</v>
      </c>
      <c r="BD9" s="30">
        <f t="shared" si="24"/>
        <v>13680</v>
      </c>
      <c r="BE9" s="30">
        <f t="shared" si="25"/>
        <v>15595</v>
      </c>
      <c r="BF9" s="2">
        <f t="shared" si="26"/>
        <v>26800</v>
      </c>
      <c r="BG9" s="2">
        <f t="shared" si="27"/>
        <v>30630</v>
      </c>
      <c r="BH9" s="2">
        <f t="shared" si="0"/>
        <v>126890</v>
      </c>
      <c r="BI9" s="2">
        <f t="shared" si="1"/>
        <v>157520</v>
      </c>
      <c r="BJ9" s="2">
        <f t="shared" si="28"/>
        <v>2552.5</v>
      </c>
      <c r="BK9" s="29"/>
      <c r="BM9" s="2">
        <v>20000</v>
      </c>
      <c r="BN9" s="38">
        <f t="shared" si="29"/>
        <v>0.65295461965393409</v>
      </c>
      <c r="BO9" s="35">
        <v>1</v>
      </c>
      <c r="BP9" s="35">
        <v>1</v>
      </c>
      <c r="BQ9" s="35">
        <v>1</v>
      </c>
      <c r="BR9" s="36">
        <f t="shared" si="30"/>
        <v>10.100673292722027</v>
      </c>
      <c r="BS9" s="36">
        <f t="shared" si="2"/>
        <v>61.712047012732619</v>
      </c>
      <c r="BU9" s="37">
        <f t="shared" si="31"/>
        <v>0</v>
      </c>
      <c r="BV9" s="35">
        <v>1</v>
      </c>
      <c r="BW9" s="35">
        <v>1</v>
      </c>
    </row>
    <row r="10" spans="1:75" ht="19" x14ac:dyDescent="0.2">
      <c r="A10" s="4">
        <v>7</v>
      </c>
      <c r="B10" s="5">
        <v>92000653</v>
      </c>
      <c r="C10" s="5" t="s">
        <v>12</v>
      </c>
      <c r="D10" s="7" t="s">
        <v>6</v>
      </c>
      <c r="E10" s="17">
        <v>265</v>
      </c>
      <c r="F10" s="11">
        <v>36360</v>
      </c>
      <c r="G10" s="19"/>
      <c r="H10" s="19">
        <v>12930</v>
      </c>
      <c r="I10" s="19">
        <f t="shared" si="32"/>
        <v>23430</v>
      </c>
      <c r="J10" s="19">
        <f t="shared" si="33"/>
        <v>23430</v>
      </c>
      <c r="K10" s="19"/>
      <c r="L10" s="19">
        <v>12610</v>
      </c>
      <c r="M10" s="19">
        <f t="shared" si="34"/>
        <v>10820</v>
      </c>
      <c r="N10" s="19">
        <f t="shared" si="35"/>
        <v>10820</v>
      </c>
      <c r="O10" s="19">
        <v>70000</v>
      </c>
      <c r="P10" s="19">
        <v>8790</v>
      </c>
      <c r="Q10" s="19">
        <f t="shared" si="3"/>
        <v>72030</v>
      </c>
      <c r="R10" s="19">
        <f t="shared" si="4"/>
        <v>72030</v>
      </c>
      <c r="S10" s="19"/>
      <c r="T10" s="19">
        <v>11660</v>
      </c>
      <c r="U10" s="19">
        <f t="shared" si="5"/>
        <v>60370</v>
      </c>
      <c r="V10" s="19">
        <f t="shared" si="6"/>
        <v>60370</v>
      </c>
      <c r="W10" s="19"/>
      <c r="X10" s="19">
        <v>9940</v>
      </c>
      <c r="Y10" s="19">
        <f t="shared" si="7"/>
        <v>50430</v>
      </c>
      <c r="Z10" s="19">
        <f t="shared" si="8"/>
        <v>50430</v>
      </c>
      <c r="AA10" s="19">
        <v>30000</v>
      </c>
      <c r="AB10" s="19">
        <v>6030</v>
      </c>
      <c r="AC10" s="19">
        <f t="shared" si="9"/>
        <v>74400</v>
      </c>
      <c r="AD10" s="19">
        <f t="shared" si="10"/>
        <v>74400</v>
      </c>
      <c r="AE10" s="19"/>
      <c r="AF10" s="19">
        <v>3730</v>
      </c>
      <c r="AG10" s="19">
        <f t="shared" si="11"/>
        <v>70670</v>
      </c>
      <c r="AH10" s="19">
        <f t="shared" si="12"/>
        <v>70670</v>
      </c>
      <c r="AI10" s="19"/>
      <c r="AJ10" s="19">
        <v>11820</v>
      </c>
      <c r="AK10" s="19">
        <f t="shared" si="13"/>
        <v>58850</v>
      </c>
      <c r="AL10" s="19">
        <f t="shared" si="14"/>
        <v>58850</v>
      </c>
      <c r="AM10" s="19"/>
      <c r="AN10" s="19">
        <v>3760</v>
      </c>
      <c r="AO10" s="19">
        <f t="shared" si="15"/>
        <v>55090</v>
      </c>
      <c r="AP10" s="19">
        <f t="shared" si="16"/>
        <v>55090</v>
      </c>
      <c r="AQ10" s="19"/>
      <c r="AR10" s="19">
        <v>5780</v>
      </c>
      <c r="AS10" s="19">
        <f t="shared" si="17"/>
        <v>49310</v>
      </c>
      <c r="AT10" s="19">
        <f t="shared" si="18"/>
        <v>49310</v>
      </c>
      <c r="AU10" s="19"/>
      <c r="AV10" s="19">
        <v>7460</v>
      </c>
      <c r="AW10" s="19">
        <f t="shared" si="19"/>
        <v>41850</v>
      </c>
      <c r="AX10" s="19">
        <f t="shared" si="20"/>
        <v>41850</v>
      </c>
      <c r="AY10" s="19"/>
      <c r="AZ10" s="19">
        <v>10300</v>
      </c>
      <c r="BA10" s="19">
        <f t="shared" si="21"/>
        <v>31550</v>
      </c>
      <c r="BB10" s="2">
        <f t="shared" si="22"/>
        <v>603610</v>
      </c>
      <c r="BC10" s="30">
        <f t="shared" si="23"/>
        <v>36360</v>
      </c>
      <c r="BD10" s="30">
        <f t="shared" si="24"/>
        <v>31550</v>
      </c>
      <c r="BE10" s="30">
        <f t="shared" si="25"/>
        <v>33955</v>
      </c>
      <c r="BF10" s="2">
        <f t="shared" si="26"/>
        <v>100000</v>
      </c>
      <c r="BG10" s="2">
        <f t="shared" si="27"/>
        <v>104810</v>
      </c>
      <c r="BH10" s="2">
        <f t="shared" si="0"/>
        <v>598800</v>
      </c>
      <c r="BI10" s="2">
        <f t="shared" si="1"/>
        <v>703610</v>
      </c>
      <c r="BJ10" s="2">
        <f t="shared" si="28"/>
        <v>8734.1666666666661</v>
      </c>
      <c r="BK10" s="29"/>
      <c r="BM10" s="2">
        <v>23000</v>
      </c>
      <c r="BN10" s="38">
        <f t="shared" si="29"/>
        <v>0.21944470947428679</v>
      </c>
      <c r="BO10" s="35">
        <v>1</v>
      </c>
      <c r="BP10" s="35">
        <v>1</v>
      </c>
      <c r="BQ10" s="35">
        <v>1</v>
      </c>
      <c r="BR10" s="36">
        <f t="shared" si="30"/>
        <v>20.72183772640259</v>
      </c>
      <c r="BS10" s="36">
        <f t="shared" si="2"/>
        <v>80.558343669497191</v>
      </c>
      <c r="BU10" s="37">
        <f t="shared" si="31"/>
        <v>0</v>
      </c>
      <c r="BV10" s="35">
        <v>1</v>
      </c>
      <c r="BW10" s="35">
        <v>1</v>
      </c>
    </row>
    <row r="11" spans="1:75" ht="19" x14ac:dyDescent="0.2">
      <c r="A11" s="4">
        <v>8</v>
      </c>
      <c r="B11" s="5">
        <v>91000255</v>
      </c>
      <c r="C11" s="4" t="s">
        <v>13</v>
      </c>
      <c r="D11" s="6" t="s">
        <v>6</v>
      </c>
      <c r="E11" s="16">
        <f>28932.15/100</f>
        <v>289.32150000000001</v>
      </c>
      <c r="F11" s="11">
        <v>4200</v>
      </c>
      <c r="G11" s="19"/>
      <c r="H11" s="19">
        <v>400</v>
      </c>
      <c r="I11" s="19">
        <f t="shared" si="32"/>
        <v>3800</v>
      </c>
      <c r="J11" s="19">
        <f t="shared" si="33"/>
        <v>3800</v>
      </c>
      <c r="K11" s="19"/>
      <c r="L11" s="19">
        <v>200</v>
      </c>
      <c r="M11" s="19">
        <f t="shared" si="34"/>
        <v>3600</v>
      </c>
      <c r="N11" s="19">
        <f t="shared" si="35"/>
        <v>3600</v>
      </c>
      <c r="O11" s="19"/>
      <c r="P11" s="19">
        <v>200</v>
      </c>
      <c r="Q11" s="19">
        <f t="shared" si="3"/>
        <v>3400</v>
      </c>
      <c r="R11" s="19">
        <f t="shared" si="4"/>
        <v>3400</v>
      </c>
      <c r="S11" s="19"/>
      <c r="T11" s="19">
        <v>300</v>
      </c>
      <c r="U11" s="19">
        <f t="shared" si="5"/>
        <v>3100</v>
      </c>
      <c r="V11" s="19">
        <f t="shared" si="6"/>
        <v>3100</v>
      </c>
      <c r="W11" s="19"/>
      <c r="X11" s="19">
        <v>300</v>
      </c>
      <c r="Y11" s="19">
        <f t="shared" si="7"/>
        <v>2800</v>
      </c>
      <c r="Z11" s="19">
        <f t="shared" si="8"/>
        <v>2800</v>
      </c>
      <c r="AA11" s="19"/>
      <c r="AB11" s="19">
        <v>200</v>
      </c>
      <c r="AC11" s="19">
        <f t="shared" si="9"/>
        <v>2600</v>
      </c>
      <c r="AD11" s="19">
        <f t="shared" si="10"/>
        <v>2600</v>
      </c>
      <c r="AE11" s="19"/>
      <c r="AF11" s="19">
        <v>500</v>
      </c>
      <c r="AG11" s="19">
        <f t="shared" si="11"/>
        <v>2100</v>
      </c>
      <c r="AH11" s="19">
        <f t="shared" si="12"/>
        <v>2100</v>
      </c>
      <c r="AI11" s="19">
        <v>5000</v>
      </c>
      <c r="AJ11" s="19">
        <v>2100</v>
      </c>
      <c r="AK11" s="19">
        <f t="shared" si="13"/>
        <v>5000</v>
      </c>
      <c r="AL11" s="19">
        <f t="shared" si="14"/>
        <v>5000</v>
      </c>
      <c r="AM11" s="19"/>
      <c r="AN11" s="19">
        <v>400</v>
      </c>
      <c r="AO11" s="19">
        <f t="shared" si="15"/>
        <v>4600</v>
      </c>
      <c r="AP11" s="19">
        <f t="shared" si="16"/>
        <v>4600</v>
      </c>
      <c r="AQ11" s="19"/>
      <c r="AR11" s="19">
        <v>600</v>
      </c>
      <c r="AS11" s="19">
        <f t="shared" si="17"/>
        <v>4000</v>
      </c>
      <c r="AT11" s="19">
        <f t="shared" si="18"/>
        <v>4000</v>
      </c>
      <c r="AU11" s="19"/>
      <c r="AV11" s="19">
        <v>430</v>
      </c>
      <c r="AW11" s="19">
        <f t="shared" si="19"/>
        <v>3570</v>
      </c>
      <c r="AX11" s="19">
        <f t="shared" si="20"/>
        <v>3570</v>
      </c>
      <c r="AY11" s="19"/>
      <c r="AZ11" s="19">
        <v>400</v>
      </c>
      <c r="BA11" s="19">
        <f t="shared" si="21"/>
        <v>3170</v>
      </c>
      <c r="BB11" s="2">
        <f t="shared" si="22"/>
        <v>42770</v>
      </c>
      <c r="BC11" s="30">
        <f t="shared" si="23"/>
        <v>4200</v>
      </c>
      <c r="BD11" s="30">
        <f t="shared" si="24"/>
        <v>3170</v>
      </c>
      <c r="BE11" s="30">
        <f t="shared" si="25"/>
        <v>3685</v>
      </c>
      <c r="BF11" s="2">
        <f t="shared" si="26"/>
        <v>5000</v>
      </c>
      <c r="BG11" s="2">
        <f t="shared" si="27"/>
        <v>6030</v>
      </c>
      <c r="BH11" s="2">
        <f t="shared" si="0"/>
        <v>41740</v>
      </c>
      <c r="BI11" s="2">
        <f t="shared" si="1"/>
        <v>47770</v>
      </c>
      <c r="BJ11" s="2">
        <f t="shared" si="28"/>
        <v>502.5</v>
      </c>
      <c r="BK11" s="29"/>
      <c r="BM11" s="2">
        <v>2000</v>
      </c>
      <c r="BN11" s="38">
        <f t="shared" si="29"/>
        <v>0.33167495854063017</v>
      </c>
      <c r="BO11" s="35">
        <v>1</v>
      </c>
      <c r="BP11" s="35">
        <v>1</v>
      </c>
      <c r="BQ11" s="35">
        <v>1</v>
      </c>
      <c r="BR11" s="36">
        <f t="shared" si="30"/>
        <v>12.963364993215739</v>
      </c>
      <c r="BS11" s="36">
        <f t="shared" si="2"/>
        <v>95.06467661691542</v>
      </c>
      <c r="BU11" s="37">
        <f t="shared" si="31"/>
        <v>0</v>
      </c>
      <c r="BV11" s="35">
        <v>1</v>
      </c>
      <c r="BW11" s="35">
        <v>1</v>
      </c>
    </row>
    <row r="12" spans="1:75" ht="19" x14ac:dyDescent="0.2">
      <c r="A12" s="4">
        <v>9</v>
      </c>
      <c r="B12" s="5">
        <v>92000139</v>
      </c>
      <c r="C12" s="4" t="s">
        <v>14</v>
      </c>
      <c r="D12" s="6" t="s">
        <v>6</v>
      </c>
      <c r="E12" s="22">
        <f>21642/100</f>
        <v>216.42</v>
      </c>
      <c r="F12" s="11">
        <v>2400</v>
      </c>
      <c r="G12" s="19"/>
      <c r="H12" s="19">
        <v>300</v>
      </c>
      <c r="I12" s="19">
        <f t="shared" si="32"/>
        <v>2100</v>
      </c>
      <c r="J12" s="19">
        <f t="shared" si="33"/>
        <v>2100</v>
      </c>
      <c r="K12" s="19"/>
      <c r="L12" s="19">
        <v>300</v>
      </c>
      <c r="M12" s="19">
        <f t="shared" si="34"/>
        <v>1800</v>
      </c>
      <c r="N12" s="19">
        <f t="shared" si="35"/>
        <v>1800</v>
      </c>
      <c r="O12" s="19"/>
      <c r="P12" s="19">
        <v>500</v>
      </c>
      <c r="Q12" s="19">
        <f t="shared" si="3"/>
        <v>1300</v>
      </c>
      <c r="R12" s="19">
        <f t="shared" si="4"/>
        <v>1300</v>
      </c>
      <c r="S12" s="19"/>
      <c r="T12" s="19">
        <v>100</v>
      </c>
      <c r="U12" s="19">
        <f t="shared" si="5"/>
        <v>1200</v>
      </c>
      <c r="V12" s="19">
        <f t="shared" si="6"/>
        <v>1200</v>
      </c>
      <c r="W12" s="19"/>
      <c r="X12" s="19">
        <v>500</v>
      </c>
      <c r="Y12" s="19">
        <f t="shared" si="7"/>
        <v>700</v>
      </c>
      <c r="Z12" s="19">
        <f t="shared" si="8"/>
        <v>700</v>
      </c>
      <c r="AA12" s="19">
        <v>3000</v>
      </c>
      <c r="AB12" s="19">
        <v>800</v>
      </c>
      <c r="AC12" s="19">
        <f t="shared" si="9"/>
        <v>2900</v>
      </c>
      <c r="AD12" s="19">
        <f t="shared" si="10"/>
        <v>2900</v>
      </c>
      <c r="AE12" s="19"/>
      <c r="AF12" s="19">
        <v>230</v>
      </c>
      <c r="AG12" s="19">
        <f t="shared" si="11"/>
        <v>2670</v>
      </c>
      <c r="AH12" s="19">
        <f t="shared" si="12"/>
        <v>2670</v>
      </c>
      <c r="AI12" s="19"/>
      <c r="AJ12" s="19">
        <v>0</v>
      </c>
      <c r="AK12" s="19">
        <f t="shared" si="13"/>
        <v>2670</v>
      </c>
      <c r="AL12" s="19">
        <f t="shared" si="14"/>
        <v>2670</v>
      </c>
      <c r="AM12" s="19"/>
      <c r="AN12" s="19">
        <v>1060</v>
      </c>
      <c r="AO12" s="19">
        <f t="shared" si="15"/>
        <v>1610</v>
      </c>
      <c r="AP12" s="19">
        <f t="shared" si="16"/>
        <v>1610</v>
      </c>
      <c r="AQ12" s="19">
        <v>5000</v>
      </c>
      <c r="AR12" s="19">
        <v>290</v>
      </c>
      <c r="AS12" s="19">
        <f t="shared" si="17"/>
        <v>6320</v>
      </c>
      <c r="AT12" s="19">
        <f t="shared" si="18"/>
        <v>6320</v>
      </c>
      <c r="AU12" s="19"/>
      <c r="AV12" s="19">
        <v>600</v>
      </c>
      <c r="AW12" s="19">
        <f t="shared" si="19"/>
        <v>5720</v>
      </c>
      <c r="AX12" s="19">
        <f t="shared" si="20"/>
        <v>5720</v>
      </c>
      <c r="AY12" s="19"/>
      <c r="AZ12" s="19">
        <v>110</v>
      </c>
      <c r="BA12" s="19">
        <f t="shared" si="21"/>
        <v>5610</v>
      </c>
      <c r="BB12" s="2">
        <f t="shared" si="22"/>
        <v>31390</v>
      </c>
      <c r="BC12" s="30">
        <f t="shared" si="23"/>
        <v>2400</v>
      </c>
      <c r="BD12" s="30">
        <f t="shared" si="24"/>
        <v>5610</v>
      </c>
      <c r="BE12" s="30">
        <f t="shared" si="25"/>
        <v>4005</v>
      </c>
      <c r="BF12" s="2">
        <f t="shared" si="26"/>
        <v>8000</v>
      </c>
      <c r="BG12" s="2">
        <f t="shared" si="27"/>
        <v>4790</v>
      </c>
      <c r="BH12" s="2">
        <f t="shared" si="0"/>
        <v>34600</v>
      </c>
      <c r="BI12" s="2">
        <f t="shared" si="1"/>
        <v>39390</v>
      </c>
      <c r="BJ12" s="2">
        <f t="shared" si="28"/>
        <v>399.16666666666669</v>
      </c>
      <c r="BK12" s="29"/>
      <c r="BM12" s="2">
        <v>5000</v>
      </c>
      <c r="BN12" s="38">
        <f t="shared" si="29"/>
        <v>1.0438413361169103</v>
      </c>
      <c r="BO12" s="35">
        <v>1</v>
      </c>
      <c r="BP12" s="35">
        <v>1</v>
      </c>
      <c r="BQ12" s="35">
        <v>1</v>
      </c>
      <c r="BR12" s="36">
        <f t="shared" si="30"/>
        <v>9.8352059925093638</v>
      </c>
      <c r="BS12" s="36">
        <f t="shared" si="2"/>
        <v>98.680584551148215</v>
      </c>
      <c r="BU12" s="37">
        <f t="shared" si="31"/>
        <v>0</v>
      </c>
      <c r="BV12" s="35">
        <v>1</v>
      </c>
      <c r="BW12" s="35">
        <v>1</v>
      </c>
    </row>
    <row r="13" spans="1:75" ht="19" x14ac:dyDescent="0.2">
      <c r="A13" s="4">
        <v>10</v>
      </c>
      <c r="B13" s="5">
        <v>92000403</v>
      </c>
      <c r="C13" s="4" t="s">
        <v>15</v>
      </c>
      <c r="D13" s="6" t="s">
        <v>16</v>
      </c>
      <c r="E13" s="16">
        <v>2109</v>
      </c>
      <c r="F13" s="11">
        <v>182</v>
      </c>
      <c r="G13" s="19"/>
      <c r="H13" s="19">
        <v>46</v>
      </c>
      <c r="I13" s="19">
        <f t="shared" si="32"/>
        <v>136</v>
      </c>
      <c r="J13" s="19">
        <f t="shared" si="33"/>
        <v>136</v>
      </c>
      <c r="K13" s="19"/>
      <c r="L13" s="19">
        <v>22</v>
      </c>
      <c r="M13" s="19">
        <f t="shared" si="34"/>
        <v>114</v>
      </c>
      <c r="N13" s="19">
        <f t="shared" si="35"/>
        <v>114</v>
      </c>
      <c r="O13" s="19"/>
      <c r="P13" s="19">
        <v>38</v>
      </c>
      <c r="Q13" s="19">
        <f t="shared" si="3"/>
        <v>76</v>
      </c>
      <c r="R13" s="19">
        <f t="shared" si="4"/>
        <v>76</v>
      </c>
      <c r="S13" s="19"/>
      <c r="T13" s="19">
        <v>19</v>
      </c>
      <c r="U13" s="19">
        <f t="shared" si="5"/>
        <v>57</v>
      </c>
      <c r="V13" s="19">
        <f t="shared" si="6"/>
        <v>57</v>
      </c>
      <c r="W13" s="19"/>
      <c r="X13" s="19">
        <v>15</v>
      </c>
      <c r="Y13" s="19">
        <f t="shared" si="7"/>
        <v>42</v>
      </c>
      <c r="Z13" s="19">
        <f t="shared" si="8"/>
        <v>42</v>
      </c>
      <c r="AA13" s="19">
        <v>72</v>
      </c>
      <c r="AB13" s="19">
        <v>18</v>
      </c>
      <c r="AC13" s="19">
        <f t="shared" si="9"/>
        <v>96</v>
      </c>
      <c r="AD13" s="19">
        <f t="shared" si="10"/>
        <v>96</v>
      </c>
      <c r="AE13" s="19"/>
      <c r="AF13" s="19">
        <v>10</v>
      </c>
      <c r="AG13" s="19">
        <f t="shared" si="11"/>
        <v>86</v>
      </c>
      <c r="AH13" s="19">
        <f t="shared" si="12"/>
        <v>86</v>
      </c>
      <c r="AI13" s="19"/>
      <c r="AJ13" s="19">
        <v>32</v>
      </c>
      <c r="AK13" s="19">
        <f t="shared" si="13"/>
        <v>54</v>
      </c>
      <c r="AL13" s="19">
        <f t="shared" si="14"/>
        <v>54</v>
      </c>
      <c r="AM13" s="19"/>
      <c r="AN13" s="19">
        <v>9</v>
      </c>
      <c r="AO13" s="19">
        <f t="shared" si="15"/>
        <v>45</v>
      </c>
      <c r="AP13" s="19">
        <f t="shared" si="16"/>
        <v>45</v>
      </c>
      <c r="AQ13" s="19">
        <v>120</v>
      </c>
      <c r="AR13" s="19">
        <v>32</v>
      </c>
      <c r="AS13" s="19">
        <f t="shared" si="17"/>
        <v>133</v>
      </c>
      <c r="AT13" s="19">
        <f t="shared" si="18"/>
        <v>133</v>
      </c>
      <c r="AU13" s="19"/>
      <c r="AV13" s="19">
        <v>14</v>
      </c>
      <c r="AW13" s="19">
        <f t="shared" si="19"/>
        <v>119</v>
      </c>
      <c r="AX13" s="19">
        <f t="shared" si="20"/>
        <v>119</v>
      </c>
      <c r="AY13" s="19"/>
      <c r="AZ13" s="19">
        <v>26</v>
      </c>
      <c r="BA13" s="19">
        <f t="shared" si="21"/>
        <v>93</v>
      </c>
      <c r="BB13" s="2">
        <f t="shared" si="22"/>
        <v>1140</v>
      </c>
      <c r="BC13" s="30">
        <f t="shared" si="23"/>
        <v>182</v>
      </c>
      <c r="BD13" s="30">
        <f t="shared" si="24"/>
        <v>93</v>
      </c>
      <c r="BE13" s="30">
        <f t="shared" si="25"/>
        <v>137.5</v>
      </c>
      <c r="BF13" s="2">
        <f t="shared" si="26"/>
        <v>192</v>
      </c>
      <c r="BG13" s="2">
        <f t="shared" si="27"/>
        <v>281</v>
      </c>
      <c r="BH13" s="2">
        <f t="shared" si="0"/>
        <v>1051</v>
      </c>
      <c r="BI13" s="2">
        <f t="shared" si="1"/>
        <v>1332</v>
      </c>
      <c r="BJ13" s="2">
        <f t="shared" si="28"/>
        <v>23.416666666666668</v>
      </c>
      <c r="BK13" s="29"/>
      <c r="BM13" s="2">
        <v>240</v>
      </c>
      <c r="BN13" s="38">
        <f t="shared" si="29"/>
        <v>0.85409252669039148</v>
      </c>
      <c r="BO13" s="35">
        <v>1</v>
      </c>
      <c r="BP13" s="35">
        <v>1</v>
      </c>
      <c r="BQ13" s="35">
        <v>1</v>
      </c>
      <c r="BR13" s="36">
        <f t="shared" si="30"/>
        <v>9.6872727272727275</v>
      </c>
      <c r="BS13" s="36">
        <f t="shared" si="2"/>
        <v>56.882562277580071</v>
      </c>
      <c r="BU13" s="37">
        <f t="shared" si="31"/>
        <v>0</v>
      </c>
      <c r="BV13" s="35">
        <v>1</v>
      </c>
      <c r="BW13" s="35">
        <v>1</v>
      </c>
    </row>
    <row r="14" spans="1:75" ht="19" x14ac:dyDescent="0.2">
      <c r="A14" s="4">
        <v>11</v>
      </c>
      <c r="B14" s="5">
        <v>92000517</v>
      </c>
      <c r="C14" s="5" t="s">
        <v>17</v>
      </c>
      <c r="D14" s="7" t="s">
        <v>6</v>
      </c>
      <c r="E14" s="17">
        <f>10156.5/100</f>
        <v>101.565</v>
      </c>
      <c r="F14" s="11">
        <v>28700</v>
      </c>
      <c r="G14" s="19"/>
      <c r="H14" s="19"/>
      <c r="I14" s="19">
        <f t="shared" si="32"/>
        <v>28700</v>
      </c>
      <c r="J14" s="19">
        <f t="shared" si="33"/>
        <v>28700</v>
      </c>
      <c r="K14" s="19"/>
      <c r="L14" s="19">
        <v>9300</v>
      </c>
      <c r="M14" s="19">
        <f t="shared" si="34"/>
        <v>19400</v>
      </c>
      <c r="N14" s="19">
        <f t="shared" si="35"/>
        <v>19400</v>
      </c>
      <c r="O14" s="19"/>
      <c r="P14" s="19">
        <v>4100</v>
      </c>
      <c r="Q14" s="19">
        <f t="shared" si="3"/>
        <v>15300</v>
      </c>
      <c r="R14" s="19">
        <f t="shared" si="4"/>
        <v>15300</v>
      </c>
      <c r="S14" s="19"/>
      <c r="T14" s="19">
        <v>3700</v>
      </c>
      <c r="U14" s="19">
        <f t="shared" si="5"/>
        <v>11600</v>
      </c>
      <c r="V14" s="19">
        <f t="shared" si="6"/>
        <v>11600</v>
      </c>
      <c r="W14" s="19"/>
      <c r="X14" s="19">
        <v>4000</v>
      </c>
      <c r="Y14" s="19">
        <f t="shared" si="7"/>
        <v>7600</v>
      </c>
      <c r="Z14" s="19">
        <f t="shared" si="8"/>
        <v>7600</v>
      </c>
      <c r="AA14" s="19"/>
      <c r="AB14" s="19">
        <v>3800</v>
      </c>
      <c r="AC14" s="19">
        <f t="shared" si="9"/>
        <v>3800</v>
      </c>
      <c r="AD14" s="19">
        <f t="shared" si="10"/>
        <v>3800</v>
      </c>
      <c r="AE14" s="19"/>
      <c r="AF14" s="19">
        <v>2900</v>
      </c>
      <c r="AG14" s="19">
        <f t="shared" si="11"/>
        <v>900</v>
      </c>
      <c r="AH14" s="19">
        <f t="shared" si="12"/>
        <v>900</v>
      </c>
      <c r="AI14" s="19"/>
      <c r="AJ14" s="19">
        <v>900</v>
      </c>
      <c r="AK14" s="19">
        <f t="shared" si="13"/>
        <v>0</v>
      </c>
      <c r="AL14" s="19">
        <f t="shared" si="14"/>
        <v>0</v>
      </c>
      <c r="AM14" s="19"/>
      <c r="AN14" s="19">
        <v>0</v>
      </c>
      <c r="AO14" s="19">
        <f t="shared" si="15"/>
        <v>0</v>
      </c>
      <c r="AP14" s="19">
        <f t="shared" si="16"/>
        <v>0</v>
      </c>
      <c r="AQ14" s="19"/>
      <c r="AR14" s="19">
        <v>0</v>
      </c>
      <c r="AS14" s="19">
        <f t="shared" si="17"/>
        <v>0</v>
      </c>
      <c r="AT14" s="19">
        <f t="shared" si="18"/>
        <v>0</v>
      </c>
      <c r="AU14" s="19"/>
      <c r="AV14" s="19">
        <v>0</v>
      </c>
      <c r="AW14" s="19">
        <f t="shared" si="19"/>
        <v>0</v>
      </c>
      <c r="AX14" s="19">
        <f t="shared" si="20"/>
        <v>0</v>
      </c>
      <c r="AY14" s="19"/>
      <c r="AZ14" s="19">
        <v>0</v>
      </c>
      <c r="BA14" s="19">
        <f t="shared" si="21"/>
        <v>0</v>
      </c>
      <c r="BB14" s="2">
        <f t="shared" si="22"/>
        <v>116000</v>
      </c>
      <c r="BC14" s="30">
        <f t="shared" si="23"/>
        <v>28700</v>
      </c>
      <c r="BD14" s="30">
        <f t="shared" si="24"/>
        <v>0</v>
      </c>
      <c r="BE14" s="30">
        <f t="shared" si="25"/>
        <v>14350</v>
      </c>
      <c r="BF14" s="2">
        <f t="shared" si="26"/>
        <v>0</v>
      </c>
      <c r="BG14" s="2">
        <f t="shared" si="27"/>
        <v>28700</v>
      </c>
      <c r="BH14" s="2">
        <f t="shared" si="0"/>
        <v>87300</v>
      </c>
      <c r="BI14" s="2">
        <f t="shared" si="1"/>
        <v>116000</v>
      </c>
      <c r="BJ14" s="2">
        <f t="shared" si="28"/>
        <v>2391.6666666666665</v>
      </c>
      <c r="BK14" s="29"/>
      <c r="BM14" s="2">
        <v>80000</v>
      </c>
      <c r="BN14" s="38">
        <f t="shared" si="29"/>
        <v>2.7874564459930316</v>
      </c>
      <c r="BO14" s="35">
        <v>1</v>
      </c>
      <c r="BP14" s="35">
        <v>1</v>
      </c>
      <c r="BQ14" s="35">
        <v>1</v>
      </c>
      <c r="BR14" s="36">
        <f t="shared" si="30"/>
        <v>8.0836236933797903</v>
      </c>
      <c r="BS14" s="36">
        <f t="shared" si="2"/>
        <v>48.501742160278752</v>
      </c>
      <c r="BU14" s="37">
        <f t="shared" si="31"/>
        <v>0</v>
      </c>
      <c r="BV14" s="35">
        <v>1</v>
      </c>
      <c r="BW14" s="35">
        <v>1</v>
      </c>
    </row>
    <row r="15" spans="1:75" ht="19" x14ac:dyDescent="0.2">
      <c r="A15" s="4">
        <v>12</v>
      </c>
      <c r="B15" s="5">
        <v>92000770</v>
      </c>
      <c r="C15" s="4" t="s">
        <v>18</v>
      </c>
      <c r="D15" s="6" t="s">
        <v>6</v>
      </c>
      <c r="E15" s="16">
        <f>129351/100</f>
        <v>1293.51</v>
      </c>
      <c r="F15" s="11">
        <v>600</v>
      </c>
      <c r="G15" s="19"/>
      <c r="H15" s="19">
        <v>100</v>
      </c>
      <c r="I15" s="19">
        <f t="shared" si="32"/>
        <v>500</v>
      </c>
      <c r="J15" s="19">
        <f t="shared" si="33"/>
        <v>500</v>
      </c>
      <c r="K15" s="19"/>
      <c r="L15" s="19">
        <v>200</v>
      </c>
      <c r="M15" s="19">
        <f t="shared" si="34"/>
        <v>300</v>
      </c>
      <c r="N15" s="19">
        <f t="shared" si="35"/>
        <v>300</v>
      </c>
      <c r="O15" s="19"/>
      <c r="P15" s="19">
        <v>0</v>
      </c>
      <c r="Q15" s="19">
        <f t="shared" si="3"/>
        <v>300</v>
      </c>
      <c r="R15" s="19">
        <f t="shared" si="4"/>
        <v>300</v>
      </c>
      <c r="S15" s="19"/>
      <c r="T15" s="19">
        <v>100</v>
      </c>
      <c r="U15" s="19">
        <f t="shared" si="5"/>
        <v>200</v>
      </c>
      <c r="V15" s="19">
        <f t="shared" si="6"/>
        <v>200</v>
      </c>
      <c r="W15" s="19"/>
      <c r="X15" s="19">
        <v>0</v>
      </c>
      <c r="Y15" s="19">
        <f t="shared" si="7"/>
        <v>200</v>
      </c>
      <c r="Z15" s="19">
        <f t="shared" si="8"/>
        <v>200</v>
      </c>
      <c r="AA15" s="19">
        <v>1100</v>
      </c>
      <c r="AB15" s="19">
        <v>145</v>
      </c>
      <c r="AC15" s="19">
        <f t="shared" si="9"/>
        <v>1155</v>
      </c>
      <c r="AD15" s="19">
        <f t="shared" si="10"/>
        <v>1155</v>
      </c>
      <c r="AE15" s="19"/>
      <c r="AF15" s="19">
        <v>55</v>
      </c>
      <c r="AG15" s="19">
        <f t="shared" si="11"/>
        <v>1100</v>
      </c>
      <c r="AH15" s="19">
        <f t="shared" si="12"/>
        <v>1100</v>
      </c>
      <c r="AI15" s="19"/>
      <c r="AJ15" s="19">
        <v>450</v>
      </c>
      <c r="AK15" s="19">
        <f t="shared" si="13"/>
        <v>650</v>
      </c>
      <c r="AL15" s="19">
        <f t="shared" si="14"/>
        <v>650</v>
      </c>
      <c r="AM15" s="19"/>
      <c r="AN15" s="19">
        <v>10</v>
      </c>
      <c r="AO15" s="19">
        <f t="shared" si="15"/>
        <v>640</v>
      </c>
      <c r="AP15" s="19">
        <f t="shared" si="16"/>
        <v>640</v>
      </c>
      <c r="AQ15" s="19">
        <v>2000</v>
      </c>
      <c r="AR15" s="19">
        <v>480</v>
      </c>
      <c r="AS15" s="19">
        <f t="shared" si="17"/>
        <v>2160</v>
      </c>
      <c r="AT15" s="19">
        <f t="shared" si="18"/>
        <v>2160</v>
      </c>
      <c r="AU15" s="19"/>
      <c r="AV15" s="19">
        <v>210</v>
      </c>
      <c r="AW15" s="19">
        <f t="shared" si="19"/>
        <v>1950</v>
      </c>
      <c r="AX15" s="19">
        <f t="shared" si="20"/>
        <v>1950</v>
      </c>
      <c r="AY15" s="19"/>
      <c r="AZ15" s="19">
        <v>155</v>
      </c>
      <c r="BA15" s="19">
        <f t="shared" si="21"/>
        <v>1795</v>
      </c>
      <c r="BB15" s="2">
        <f t="shared" si="22"/>
        <v>9755</v>
      </c>
      <c r="BC15" s="30">
        <f t="shared" si="23"/>
        <v>600</v>
      </c>
      <c r="BD15" s="30">
        <f t="shared" si="24"/>
        <v>1795</v>
      </c>
      <c r="BE15" s="30">
        <f t="shared" si="25"/>
        <v>1197.5</v>
      </c>
      <c r="BF15" s="2">
        <f t="shared" si="26"/>
        <v>3100</v>
      </c>
      <c r="BG15" s="2">
        <f t="shared" si="27"/>
        <v>1905</v>
      </c>
      <c r="BH15" s="2">
        <f t="shared" si="0"/>
        <v>10950</v>
      </c>
      <c r="BI15" s="2">
        <f t="shared" si="1"/>
        <v>12855</v>
      </c>
      <c r="BJ15" s="2">
        <f t="shared" si="28"/>
        <v>158.75</v>
      </c>
      <c r="BK15" s="29"/>
      <c r="BM15" s="2">
        <v>10000</v>
      </c>
      <c r="BN15" s="38">
        <f t="shared" si="29"/>
        <v>5.2493438320209975</v>
      </c>
      <c r="BO15" s="35">
        <v>1</v>
      </c>
      <c r="BP15" s="35">
        <v>1</v>
      </c>
      <c r="BQ15" s="35">
        <v>1</v>
      </c>
      <c r="BR15" s="36">
        <f t="shared" si="30"/>
        <v>10.734864300626304</v>
      </c>
      <c r="BS15" s="36">
        <f t="shared" si="2"/>
        <v>80.976377952755911</v>
      </c>
      <c r="BU15" s="37">
        <f t="shared" si="31"/>
        <v>0</v>
      </c>
      <c r="BV15" s="35">
        <v>1</v>
      </c>
      <c r="BW15" s="35">
        <v>1</v>
      </c>
    </row>
    <row r="16" spans="1:75" ht="19" x14ac:dyDescent="0.2">
      <c r="A16" s="4">
        <v>13</v>
      </c>
      <c r="B16" s="5">
        <v>92000435</v>
      </c>
      <c r="C16" s="4" t="s">
        <v>19</v>
      </c>
      <c r="D16" s="6" t="s">
        <v>6</v>
      </c>
      <c r="E16" s="16">
        <v>22356</v>
      </c>
      <c r="F16" s="11"/>
      <c r="G16" s="19"/>
      <c r="H16" s="19"/>
      <c r="I16" s="19">
        <f t="shared" si="32"/>
        <v>0</v>
      </c>
      <c r="J16" s="19">
        <f t="shared" si="33"/>
        <v>0</v>
      </c>
      <c r="K16" s="19"/>
      <c r="L16" s="19"/>
      <c r="M16" s="19">
        <f t="shared" si="34"/>
        <v>0</v>
      </c>
      <c r="N16" s="19">
        <f t="shared" si="35"/>
        <v>0</v>
      </c>
      <c r="O16" s="19"/>
      <c r="P16" s="19"/>
      <c r="Q16" s="19">
        <f t="shared" si="3"/>
        <v>0</v>
      </c>
      <c r="R16" s="19">
        <f t="shared" si="4"/>
        <v>0</v>
      </c>
      <c r="S16" s="19"/>
      <c r="T16" s="19"/>
      <c r="U16" s="19">
        <f t="shared" si="5"/>
        <v>0</v>
      </c>
      <c r="V16" s="19">
        <f t="shared" si="6"/>
        <v>0</v>
      </c>
      <c r="W16" s="19"/>
      <c r="X16" s="19">
        <v>0</v>
      </c>
      <c r="Y16" s="19">
        <f t="shared" si="7"/>
        <v>0</v>
      </c>
      <c r="Z16" s="19">
        <f t="shared" si="8"/>
        <v>0</v>
      </c>
      <c r="AA16" s="19"/>
      <c r="AB16" s="19">
        <v>0</v>
      </c>
      <c r="AC16" s="19">
        <f t="shared" si="9"/>
        <v>0</v>
      </c>
      <c r="AD16" s="19">
        <f t="shared" si="10"/>
        <v>0</v>
      </c>
      <c r="AE16" s="19">
        <v>300</v>
      </c>
      <c r="AF16" s="19">
        <v>93</v>
      </c>
      <c r="AG16" s="19">
        <f t="shared" si="11"/>
        <v>207</v>
      </c>
      <c r="AH16" s="19">
        <f t="shared" si="12"/>
        <v>207</v>
      </c>
      <c r="AI16" s="19"/>
      <c r="AJ16" s="19">
        <v>28</v>
      </c>
      <c r="AK16" s="19">
        <f t="shared" si="13"/>
        <v>179</v>
      </c>
      <c r="AL16" s="19">
        <f t="shared" si="14"/>
        <v>179</v>
      </c>
      <c r="AM16" s="19"/>
      <c r="AN16" s="19">
        <v>0</v>
      </c>
      <c r="AO16" s="19">
        <f t="shared" si="15"/>
        <v>179</v>
      </c>
      <c r="AP16" s="19">
        <f t="shared" si="16"/>
        <v>179</v>
      </c>
      <c r="AQ16" s="19"/>
      <c r="AR16" s="19">
        <v>0</v>
      </c>
      <c r="AS16" s="19">
        <f t="shared" si="17"/>
        <v>179</v>
      </c>
      <c r="AT16" s="19">
        <f t="shared" si="18"/>
        <v>179</v>
      </c>
      <c r="AU16" s="19"/>
      <c r="AV16" s="19">
        <v>0</v>
      </c>
      <c r="AW16" s="19">
        <f t="shared" si="19"/>
        <v>179</v>
      </c>
      <c r="AX16" s="19">
        <f t="shared" si="20"/>
        <v>179</v>
      </c>
      <c r="AY16" s="19">
        <v>700</v>
      </c>
      <c r="AZ16" s="19">
        <v>21</v>
      </c>
      <c r="BA16" s="19">
        <f t="shared" si="21"/>
        <v>858</v>
      </c>
      <c r="BB16" s="2">
        <f t="shared" si="22"/>
        <v>923</v>
      </c>
      <c r="BC16" s="30">
        <v>300</v>
      </c>
      <c r="BD16" s="30">
        <f t="shared" si="24"/>
        <v>1158</v>
      </c>
      <c r="BE16" s="30">
        <f t="shared" si="25"/>
        <v>729</v>
      </c>
      <c r="BF16" s="2">
        <f t="shared" si="26"/>
        <v>1000</v>
      </c>
      <c r="BG16" s="2">
        <f t="shared" si="27"/>
        <v>142</v>
      </c>
      <c r="BH16" s="2">
        <f t="shared" si="0"/>
        <v>1781</v>
      </c>
      <c r="BI16" s="2">
        <f t="shared" si="1"/>
        <v>1923</v>
      </c>
      <c r="BJ16" s="2">
        <f t="shared" si="28"/>
        <v>11.833333333333334</v>
      </c>
      <c r="BK16" s="29"/>
      <c r="BM16" s="2">
        <v>100</v>
      </c>
      <c r="BN16" s="38">
        <f t="shared" si="29"/>
        <v>0.70422535211267601</v>
      </c>
      <c r="BO16" s="35">
        <v>1</v>
      </c>
      <c r="BP16" s="35">
        <v>1</v>
      </c>
      <c r="BQ16" s="35">
        <v>1</v>
      </c>
      <c r="BR16" s="36">
        <f t="shared" si="30"/>
        <v>2.6378600823045266</v>
      </c>
      <c r="BS16" s="36">
        <f t="shared" si="2"/>
        <v>162.50704225352112</v>
      </c>
      <c r="BU16" s="37">
        <f t="shared" si="31"/>
        <v>0</v>
      </c>
      <c r="BV16" s="35">
        <v>1</v>
      </c>
      <c r="BW16" s="35">
        <v>1</v>
      </c>
    </row>
    <row r="17" spans="1:75" ht="19" x14ac:dyDescent="0.2">
      <c r="A17" s="4">
        <v>14</v>
      </c>
      <c r="B17" s="5">
        <v>92000914</v>
      </c>
      <c r="C17" s="4" t="s">
        <v>20</v>
      </c>
      <c r="D17" s="6" t="s">
        <v>6</v>
      </c>
      <c r="E17" s="16"/>
      <c r="F17" s="11"/>
      <c r="G17" s="19"/>
      <c r="H17" s="19"/>
      <c r="I17" s="19">
        <f t="shared" si="32"/>
        <v>0</v>
      </c>
      <c r="J17" s="19">
        <f t="shared" si="33"/>
        <v>0</v>
      </c>
      <c r="K17" s="19"/>
      <c r="L17" s="19"/>
      <c r="M17" s="19">
        <f t="shared" si="34"/>
        <v>0</v>
      </c>
      <c r="N17" s="19">
        <f t="shared" si="35"/>
        <v>0</v>
      </c>
      <c r="O17" s="19"/>
      <c r="P17" s="19"/>
      <c r="Q17" s="19">
        <f t="shared" si="3"/>
        <v>0</v>
      </c>
      <c r="R17" s="19">
        <f t="shared" si="4"/>
        <v>0</v>
      </c>
      <c r="S17" s="19"/>
      <c r="T17" s="19"/>
      <c r="U17" s="19">
        <f t="shared" si="5"/>
        <v>0</v>
      </c>
      <c r="V17" s="19">
        <f t="shared" si="6"/>
        <v>0</v>
      </c>
      <c r="W17" s="19"/>
      <c r="X17" s="19">
        <v>0</v>
      </c>
      <c r="Y17" s="19">
        <f t="shared" si="7"/>
        <v>0</v>
      </c>
      <c r="Z17" s="19">
        <f t="shared" si="8"/>
        <v>0</v>
      </c>
      <c r="AA17" s="19"/>
      <c r="AB17" s="19">
        <v>0</v>
      </c>
      <c r="AC17" s="19">
        <f t="shared" si="9"/>
        <v>0</v>
      </c>
      <c r="AD17" s="19">
        <f t="shared" si="10"/>
        <v>0</v>
      </c>
      <c r="AE17" s="19"/>
      <c r="AF17" s="19">
        <v>0</v>
      </c>
      <c r="AG17" s="19">
        <f t="shared" si="11"/>
        <v>0</v>
      </c>
      <c r="AH17" s="19">
        <f t="shared" si="12"/>
        <v>0</v>
      </c>
      <c r="AI17" s="19"/>
      <c r="AJ17" s="19">
        <v>0</v>
      </c>
      <c r="AK17" s="19">
        <f t="shared" si="13"/>
        <v>0</v>
      </c>
      <c r="AL17" s="19">
        <f t="shared" si="14"/>
        <v>0</v>
      </c>
      <c r="AM17" s="19"/>
      <c r="AN17" s="19">
        <v>0</v>
      </c>
      <c r="AO17" s="19">
        <f t="shared" si="15"/>
        <v>0</v>
      </c>
      <c r="AP17" s="19">
        <f t="shared" si="16"/>
        <v>0</v>
      </c>
      <c r="AQ17" s="19"/>
      <c r="AR17" s="19">
        <v>0</v>
      </c>
      <c r="AS17" s="19">
        <f t="shared" si="17"/>
        <v>0</v>
      </c>
      <c r="AT17" s="19">
        <f t="shared" si="18"/>
        <v>0</v>
      </c>
      <c r="AU17" s="19"/>
      <c r="AV17" s="19">
        <v>0</v>
      </c>
      <c r="AW17" s="19">
        <f t="shared" si="19"/>
        <v>0</v>
      </c>
      <c r="AX17" s="19">
        <f t="shared" si="20"/>
        <v>0</v>
      </c>
      <c r="AY17" s="19"/>
      <c r="AZ17" s="19">
        <v>0</v>
      </c>
      <c r="BA17" s="19">
        <f t="shared" si="21"/>
        <v>0</v>
      </c>
      <c r="BB17" s="2">
        <f t="shared" si="22"/>
        <v>0</v>
      </c>
      <c r="BC17" s="30">
        <f t="shared" si="23"/>
        <v>0</v>
      </c>
      <c r="BD17" s="30">
        <f t="shared" si="24"/>
        <v>0</v>
      </c>
      <c r="BE17" s="30">
        <f t="shared" si="25"/>
        <v>0</v>
      </c>
      <c r="BF17" s="2">
        <f t="shared" si="26"/>
        <v>0</v>
      </c>
      <c r="BG17" s="2">
        <f t="shared" si="27"/>
        <v>0</v>
      </c>
      <c r="BH17" s="2">
        <f t="shared" si="0"/>
        <v>0</v>
      </c>
      <c r="BI17" s="2">
        <f t="shared" si="1"/>
        <v>0</v>
      </c>
      <c r="BJ17" s="2">
        <f t="shared" si="28"/>
        <v>0</v>
      </c>
      <c r="BK17" s="29"/>
      <c r="BM17" s="2">
        <v>600</v>
      </c>
      <c r="BN17" s="38" t="e">
        <f t="shared" si="29"/>
        <v>#DIV/0!</v>
      </c>
      <c r="BO17" s="35">
        <v>1</v>
      </c>
      <c r="BP17" s="35">
        <v>1</v>
      </c>
      <c r="BQ17" s="35">
        <v>1</v>
      </c>
      <c r="BR17" s="36" t="e">
        <f t="shared" si="30"/>
        <v>#DIV/0!</v>
      </c>
      <c r="BS17" s="36" t="e">
        <f t="shared" si="2"/>
        <v>#DIV/0!</v>
      </c>
      <c r="BU17" s="37">
        <v>0</v>
      </c>
      <c r="BV17" s="35">
        <v>1</v>
      </c>
      <c r="BW17" s="35">
        <v>1</v>
      </c>
    </row>
    <row r="18" spans="1:75" ht="19" x14ac:dyDescent="0.2">
      <c r="A18" s="4">
        <v>15</v>
      </c>
      <c r="B18" s="5">
        <v>92000634</v>
      </c>
      <c r="C18" s="5" t="s">
        <v>21</v>
      </c>
      <c r="D18" s="7" t="s">
        <v>22</v>
      </c>
      <c r="E18" s="17">
        <v>1893</v>
      </c>
      <c r="F18" s="11">
        <v>92</v>
      </c>
      <c r="G18" s="19"/>
      <c r="H18" s="19"/>
      <c r="I18" s="19">
        <f t="shared" si="32"/>
        <v>92</v>
      </c>
      <c r="J18" s="19">
        <f t="shared" si="33"/>
        <v>92</v>
      </c>
      <c r="K18" s="19"/>
      <c r="L18" s="19">
        <v>92</v>
      </c>
      <c r="M18" s="19">
        <f t="shared" si="34"/>
        <v>0</v>
      </c>
      <c r="N18" s="19">
        <f t="shared" si="35"/>
        <v>0</v>
      </c>
      <c r="O18" s="19"/>
      <c r="P18" s="19"/>
      <c r="Q18" s="19">
        <f t="shared" si="3"/>
        <v>0</v>
      </c>
      <c r="R18" s="19">
        <f t="shared" si="4"/>
        <v>0</v>
      </c>
      <c r="S18" s="19"/>
      <c r="T18" s="19"/>
      <c r="U18" s="19">
        <f t="shared" si="5"/>
        <v>0</v>
      </c>
      <c r="V18" s="19">
        <f t="shared" si="6"/>
        <v>0</v>
      </c>
      <c r="W18" s="19"/>
      <c r="X18" s="19">
        <v>0</v>
      </c>
      <c r="Y18" s="19">
        <f t="shared" si="7"/>
        <v>0</v>
      </c>
      <c r="Z18" s="19">
        <f t="shared" si="8"/>
        <v>0</v>
      </c>
      <c r="AA18" s="19">
        <v>100</v>
      </c>
      <c r="AB18" s="19">
        <v>10</v>
      </c>
      <c r="AC18" s="19">
        <f t="shared" si="9"/>
        <v>90</v>
      </c>
      <c r="AD18" s="19">
        <f t="shared" si="10"/>
        <v>90</v>
      </c>
      <c r="AE18" s="19"/>
      <c r="AF18" s="19">
        <v>6</v>
      </c>
      <c r="AG18" s="19">
        <f t="shared" si="11"/>
        <v>84</v>
      </c>
      <c r="AH18" s="19">
        <f t="shared" si="12"/>
        <v>84</v>
      </c>
      <c r="AI18" s="19"/>
      <c r="AJ18" s="19">
        <v>0</v>
      </c>
      <c r="AK18" s="19">
        <f t="shared" si="13"/>
        <v>84</v>
      </c>
      <c r="AL18" s="19">
        <f t="shared" si="14"/>
        <v>84</v>
      </c>
      <c r="AM18" s="19"/>
      <c r="AN18" s="19">
        <v>0</v>
      </c>
      <c r="AO18" s="19">
        <f t="shared" si="15"/>
        <v>84</v>
      </c>
      <c r="AP18" s="19">
        <f t="shared" si="16"/>
        <v>84</v>
      </c>
      <c r="AQ18" s="19"/>
      <c r="AR18" s="19">
        <v>0</v>
      </c>
      <c r="AS18" s="19">
        <f t="shared" si="17"/>
        <v>84</v>
      </c>
      <c r="AT18" s="19">
        <f t="shared" si="18"/>
        <v>84</v>
      </c>
      <c r="AU18" s="19"/>
      <c r="AV18" s="19">
        <v>0</v>
      </c>
      <c r="AW18" s="19">
        <f t="shared" si="19"/>
        <v>84</v>
      </c>
      <c r="AX18" s="19">
        <f t="shared" si="20"/>
        <v>84</v>
      </c>
      <c r="AY18" s="19"/>
      <c r="AZ18" s="19">
        <v>0</v>
      </c>
      <c r="BA18" s="19">
        <f t="shared" si="21"/>
        <v>84</v>
      </c>
      <c r="BB18" s="2">
        <f t="shared" si="22"/>
        <v>694</v>
      </c>
      <c r="BC18" s="30">
        <f t="shared" si="23"/>
        <v>92</v>
      </c>
      <c r="BD18" s="30">
        <f t="shared" si="24"/>
        <v>84</v>
      </c>
      <c r="BE18" s="30">
        <f t="shared" si="25"/>
        <v>88</v>
      </c>
      <c r="BF18" s="2">
        <f t="shared" si="26"/>
        <v>100</v>
      </c>
      <c r="BG18" s="2">
        <f t="shared" si="27"/>
        <v>108</v>
      </c>
      <c r="BH18" s="2">
        <f t="shared" si="0"/>
        <v>686</v>
      </c>
      <c r="BI18" s="2">
        <f t="shared" si="1"/>
        <v>794</v>
      </c>
      <c r="BJ18" s="2">
        <f t="shared" si="28"/>
        <v>9</v>
      </c>
      <c r="BK18" s="29"/>
      <c r="BM18" s="2">
        <v>10</v>
      </c>
      <c r="BN18" s="38">
        <f t="shared" si="29"/>
        <v>9.2592592592592587E-2</v>
      </c>
      <c r="BO18" s="35">
        <v>1</v>
      </c>
      <c r="BP18" s="35">
        <v>1</v>
      </c>
      <c r="BQ18" s="35">
        <v>1</v>
      </c>
      <c r="BR18" s="36">
        <f t="shared" si="30"/>
        <v>9.0227272727272734</v>
      </c>
      <c r="BS18" s="36">
        <f t="shared" si="2"/>
        <v>88.222222222222229</v>
      </c>
      <c r="BU18" s="37">
        <f t="shared" si="31"/>
        <v>0</v>
      </c>
      <c r="BV18" s="35">
        <v>1</v>
      </c>
      <c r="BW18" s="35">
        <v>1</v>
      </c>
    </row>
    <row r="19" spans="1:75" ht="19" x14ac:dyDescent="0.2">
      <c r="A19" s="4">
        <v>16</v>
      </c>
      <c r="B19" s="5"/>
      <c r="C19" s="4" t="s">
        <v>69</v>
      </c>
      <c r="D19" s="6" t="s">
        <v>22</v>
      </c>
      <c r="E19" s="16">
        <v>1609.5</v>
      </c>
      <c r="F19" s="11">
        <v>60</v>
      </c>
      <c r="G19" s="19"/>
      <c r="H19" s="19"/>
      <c r="I19" s="19">
        <f t="shared" si="32"/>
        <v>60</v>
      </c>
      <c r="J19" s="19">
        <f t="shared" si="33"/>
        <v>60</v>
      </c>
      <c r="K19" s="19"/>
      <c r="L19" s="19">
        <v>30</v>
      </c>
      <c r="M19" s="19">
        <f t="shared" si="34"/>
        <v>30</v>
      </c>
      <c r="N19" s="19">
        <f t="shared" si="35"/>
        <v>30</v>
      </c>
      <c r="O19" s="19"/>
      <c r="P19" s="19">
        <v>0</v>
      </c>
      <c r="Q19" s="19">
        <f t="shared" si="3"/>
        <v>30</v>
      </c>
      <c r="R19" s="19">
        <f t="shared" si="4"/>
        <v>30</v>
      </c>
      <c r="S19" s="19"/>
      <c r="T19" s="19">
        <v>0</v>
      </c>
      <c r="U19" s="19">
        <f t="shared" si="5"/>
        <v>30</v>
      </c>
      <c r="V19" s="19">
        <f t="shared" si="6"/>
        <v>30</v>
      </c>
      <c r="W19" s="19"/>
      <c r="X19" s="19">
        <v>0</v>
      </c>
      <c r="Y19" s="19">
        <f t="shared" si="7"/>
        <v>30</v>
      </c>
      <c r="Z19" s="19">
        <f t="shared" si="8"/>
        <v>30</v>
      </c>
      <c r="AA19" s="19"/>
      <c r="AB19" s="19">
        <v>30</v>
      </c>
      <c r="AC19" s="19">
        <f t="shared" si="9"/>
        <v>0</v>
      </c>
      <c r="AD19" s="19">
        <f t="shared" si="10"/>
        <v>0</v>
      </c>
      <c r="AE19" s="19"/>
      <c r="AF19" s="19">
        <v>0</v>
      </c>
      <c r="AG19" s="19">
        <f t="shared" si="11"/>
        <v>0</v>
      </c>
      <c r="AH19" s="19">
        <f t="shared" si="12"/>
        <v>0</v>
      </c>
      <c r="AI19" s="19"/>
      <c r="AJ19" s="19">
        <v>0</v>
      </c>
      <c r="AK19" s="19">
        <f t="shared" si="13"/>
        <v>0</v>
      </c>
      <c r="AL19" s="19">
        <f t="shared" si="14"/>
        <v>0</v>
      </c>
      <c r="AM19" s="19"/>
      <c r="AN19" s="19">
        <v>0</v>
      </c>
      <c r="AO19" s="19">
        <f t="shared" si="15"/>
        <v>0</v>
      </c>
      <c r="AP19" s="19">
        <f t="shared" si="16"/>
        <v>0</v>
      </c>
      <c r="AQ19" s="19"/>
      <c r="AR19" s="19">
        <v>0</v>
      </c>
      <c r="AS19" s="19">
        <f t="shared" si="17"/>
        <v>0</v>
      </c>
      <c r="AT19" s="19">
        <f t="shared" si="18"/>
        <v>0</v>
      </c>
      <c r="AU19" s="19"/>
      <c r="AV19" s="19">
        <v>0</v>
      </c>
      <c r="AW19" s="19">
        <f t="shared" si="19"/>
        <v>0</v>
      </c>
      <c r="AX19" s="19">
        <f t="shared" si="20"/>
        <v>0</v>
      </c>
      <c r="AY19" s="19"/>
      <c r="AZ19" s="19">
        <v>0</v>
      </c>
      <c r="BA19" s="19">
        <f t="shared" si="21"/>
        <v>0</v>
      </c>
      <c r="BB19" s="2">
        <f t="shared" si="22"/>
        <v>240</v>
      </c>
      <c r="BC19" s="30">
        <f t="shared" si="23"/>
        <v>60</v>
      </c>
      <c r="BD19" s="30">
        <f t="shared" si="24"/>
        <v>0</v>
      </c>
      <c r="BE19" s="30">
        <f t="shared" si="25"/>
        <v>30</v>
      </c>
      <c r="BF19" s="2">
        <f t="shared" si="26"/>
        <v>0</v>
      </c>
      <c r="BG19" s="2">
        <f t="shared" si="27"/>
        <v>60</v>
      </c>
      <c r="BH19" s="2">
        <f t="shared" si="0"/>
        <v>180</v>
      </c>
      <c r="BI19" s="2">
        <f t="shared" si="1"/>
        <v>240</v>
      </c>
      <c r="BJ19" s="2">
        <f t="shared" si="28"/>
        <v>5</v>
      </c>
      <c r="BK19" s="29"/>
      <c r="BM19" s="2">
        <v>120</v>
      </c>
      <c r="BN19" s="38">
        <f t="shared" si="29"/>
        <v>2</v>
      </c>
      <c r="BO19" s="35">
        <v>1</v>
      </c>
      <c r="BP19" s="35">
        <v>1</v>
      </c>
      <c r="BQ19" s="35">
        <v>1</v>
      </c>
      <c r="BR19" s="36">
        <f t="shared" si="30"/>
        <v>8</v>
      </c>
      <c r="BS19" s="36">
        <f t="shared" si="2"/>
        <v>48</v>
      </c>
      <c r="BU19" s="37">
        <f t="shared" si="31"/>
        <v>0</v>
      </c>
      <c r="BV19" s="35">
        <v>1</v>
      </c>
      <c r="BW19" s="35">
        <v>1</v>
      </c>
    </row>
    <row r="20" spans="1:75" ht="19" x14ac:dyDescent="0.2">
      <c r="A20" s="4">
        <v>17</v>
      </c>
      <c r="B20" s="5">
        <v>92002848</v>
      </c>
      <c r="C20" s="4" t="s">
        <v>23</v>
      </c>
      <c r="D20" s="6" t="s">
        <v>24</v>
      </c>
      <c r="E20" s="24">
        <v>4566</v>
      </c>
      <c r="F20" s="11">
        <v>2190</v>
      </c>
      <c r="G20" s="19"/>
      <c r="H20" s="19">
        <v>506</v>
      </c>
      <c r="I20" s="19">
        <f t="shared" si="32"/>
        <v>1684</v>
      </c>
      <c r="J20" s="19">
        <f t="shared" si="33"/>
        <v>1684</v>
      </c>
      <c r="K20" s="19"/>
      <c r="L20" s="19">
        <v>204</v>
      </c>
      <c r="M20" s="19">
        <f t="shared" si="34"/>
        <v>1480</v>
      </c>
      <c r="N20" s="19">
        <f t="shared" si="35"/>
        <v>1480</v>
      </c>
      <c r="O20" s="19"/>
      <c r="P20" s="19">
        <v>160</v>
      </c>
      <c r="Q20" s="19">
        <f t="shared" si="3"/>
        <v>1320</v>
      </c>
      <c r="R20" s="19">
        <f t="shared" si="4"/>
        <v>1320</v>
      </c>
      <c r="S20" s="19"/>
      <c r="T20" s="19">
        <v>66</v>
      </c>
      <c r="U20" s="19">
        <f t="shared" si="5"/>
        <v>1254</v>
      </c>
      <c r="V20" s="19">
        <f t="shared" si="6"/>
        <v>1254</v>
      </c>
      <c r="W20" s="19"/>
      <c r="X20" s="19">
        <v>279</v>
      </c>
      <c r="Y20" s="19">
        <f t="shared" si="7"/>
        <v>975</v>
      </c>
      <c r="Z20" s="19">
        <f t="shared" si="8"/>
        <v>975</v>
      </c>
      <c r="AA20" s="19"/>
      <c r="AB20" s="19">
        <v>115</v>
      </c>
      <c r="AC20" s="19">
        <f t="shared" si="9"/>
        <v>860</v>
      </c>
      <c r="AD20" s="19">
        <f t="shared" si="10"/>
        <v>860</v>
      </c>
      <c r="AE20" s="19"/>
      <c r="AF20" s="19">
        <v>860</v>
      </c>
      <c r="AG20" s="19">
        <f t="shared" si="11"/>
        <v>0</v>
      </c>
      <c r="AH20" s="19">
        <f t="shared" si="12"/>
        <v>0</v>
      </c>
      <c r="AI20" s="19">
        <v>2000</v>
      </c>
      <c r="AJ20" s="19">
        <v>267</v>
      </c>
      <c r="AK20" s="19">
        <f t="shared" si="13"/>
        <v>1733</v>
      </c>
      <c r="AL20" s="19">
        <f t="shared" si="14"/>
        <v>1733</v>
      </c>
      <c r="AM20" s="19"/>
      <c r="AN20" s="19">
        <v>54</v>
      </c>
      <c r="AO20" s="19">
        <f t="shared" si="15"/>
        <v>1679</v>
      </c>
      <c r="AP20" s="19">
        <f t="shared" si="16"/>
        <v>1679</v>
      </c>
      <c r="AQ20" s="19">
        <v>400</v>
      </c>
      <c r="AR20" s="19">
        <v>377</v>
      </c>
      <c r="AS20" s="19">
        <f t="shared" si="17"/>
        <v>1702</v>
      </c>
      <c r="AT20" s="19">
        <f t="shared" si="18"/>
        <v>1702</v>
      </c>
      <c r="AU20" s="19"/>
      <c r="AV20" s="19">
        <v>91</v>
      </c>
      <c r="AW20" s="19">
        <f t="shared" si="19"/>
        <v>1611</v>
      </c>
      <c r="AX20" s="19">
        <f t="shared" si="20"/>
        <v>1611</v>
      </c>
      <c r="AY20" s="19"/>
      <c r="AZ20" s="19">
        <v>18</v>
      </c>
      <c r="BA20" s="19">
        <f t="shared" si="21"/>
        <v>1593</v>
      </c>
      <c r="BB20" s="2">
        <f t="shared" si="22"/>
        <v>16488</v>
      </c>
      <c r="BC20" s="30">
        <f t="shared" si="23"/>
        <v>2190</v>
      </c>
      <c r="BD20" s="30">
        <f t="shared" si="24"/>
        <v>1593</v>
      </c>
      <c r="BE20" s="30">
        <f t="shared" si="25"/>
        <v>1891.5</v>
      </c>
      <c r="BF20" s="2">
        <f t="shared" si="26"/>
        <v>2400</v>
      </c>
      <c r="BG20" s="2">
        <f t="shared" si="27"/>
        <v>2997</v>
      </c>
      <c r="BH20" s="2">
        <f t="shared" si="0"/>
        <v>15891</v>
      </c>
      <c r="BI20" s="2">
        <f t="shared" si="1"/>
        <v>18888</v>
      </c>
      <c r="BJ20" s="2">
        <f t="shared" si="28"/>
        <v>249.75</v>
      </c>
      <c r="BK20" s="29"/>
      <c r="BM20" s="2">
        <v>200</v>
      </c>
      <c r="BN20" s="38">
        <f t="shared" si="29"/>
        <v>6.6733400066733395E-2</v>
      </c>
      <c r="BO20" s="35">
        <v>1</v>
      </c>
      <c r="BP20" s="35">
        <v>1</v>
      </c>
      <c r="BQ20" s="35">
        <v>1</v>
      </c>
      <c r="BR20" s="36">
        <f t="shared" si="30"/>
        <v>9.985725614591594</v>
      </c>
      <c r="BS20" s="36">
        <f t="shared" si="2"/>
        <v>75.627627627627632</v>
      </c>
      <c r="BU20" s="37">
        <f t="shared" si="31"/>
        <v>0</v>
      </c>
      <c r="BV20" s="35">
        <v>1</v>
      </c>
      <c r="BW20" s="35">
        <v>1</v>
      </c>
    </row>
    <row r="21" spans="1:75" ht="19" x14ac:dyDescent="0.2">
      <c r="A21" s="4">
        <v>18</v>
      </c>
      <c r="B21" s="5">
        <v>92000163</v>
      </c>
      <c r="C21" s="4" t="s">
        <v>25</v>
      </c>
      <c r="D21" s="6" t="s">
        <v>6</v>
      </c>
      <c r="E21" s="23">
        <v>1426</v>
      </c>
      <c r="F21" s="11">
        <v>1100</v>
      </c>
      <c r="G21" s="19"/>
      <c r="H21" s="19">
        <v>300</v>
      </c>
      <c r="I21" s="19">
        <f t="shared" si="32"/>
        <v>800</v>
      </c>
      <c r="J21" s="19">
        <f t="shared" si="33"/>
        <v>800</v>
      </c>
      <c r="K21" s="19"/>
      <c r="L21" s="19">
        <v>700</v>
      </c>
      <c r="M21" s="19">
        <f t="shared" si="34"/>
        <v>100</v>
      </c>
      <c r="N21" s="19">
        <f t="shared" si="35"/>
        <v>100</v>
      </c>
      <c r="O21" s="19"/>
      <c r="P21" s="19">
        <v>100</v>
      </c>
      <c r="Q21" s="19">
        <f t="shared" si="3"/>
        <v>0</v>
      </c>
      <c r="R21" s="19">
        <f t="shared" si="4"/>
        <v>0</v>
      </c>
      <c r="S21" s="19"/>
      <c r="T21" s="19"/>
      <c r="U21" s="19">
        <f t="shared" si="5"/>
        <v>0</v>
      </c>
      <c r="V21" s="19">
        <f t="shared" si="6"/>
        <v>0</v>
      </c>
      <c r="W21" s="19"/>
      <c r="X21" s="19">
        <v>0</v>
      </c>
      <c r="Y21" s="19">
        <f t="shared" si="7"/>
        <v>0</v>
      </c>
      <c r="Z21" s="19">
        <f t="shared" si="8"/>
        <v>0</v>
      </c>
      <c r="AA21" s="19">
        <v>990</v>
      </c>
      <c r="AB21" s="19">
        <v>0</v>
      </c>
      <c r="AC21" s="19">
        <f t="shared" si="9"/>
        <v>990</v>
      </c>
      <c r="AD21" s="19">
        <f t="shared" si="10"/>
        <v>990</v>
      </c>
      <c r="AE21" s="19"/>
      <c r="AF21" s="19">
        <v>0</v>
      </c>
      <c r="AG21" s="19">
        <f t="shared" si="11"/>
        <v>990</v>
      </c>
      <c r="AH21" s="19">
        <f t="shared" si="12"/>
        <v>990</v>
      </c>
      <c r="AI21" s="19"/>
      <c r="AJ21" s="19">
        <v>0</v>
      </c>
      <c r="AK21" s="19">
        <f t="shared" si="13"/>
        <v>990</v>
      </c>
      <c r="AL21" s="19">
        <f t="shared" si="14"/>
        <v>990</v>
      </c>
      <c r="AM21" s="19"/>
      <c r="AN21" s="19">
        <v>0</v>
      </c>
      <c r="AO21" s="19">
        <f t="shared" si="15"/>
        <v>990</v>
      </c>
      <c r="AP21" s="19">
        <f t="shared" si="16"/>
        <v>990</v>
      </c>
      <c r="AQ21" s="19"/>
      <c r="AR21" s="19">
        <v>0</v>
      </c>
      <c r="AS21" s="19">
        <f t="shared" si="17"/>
        <v>990</v>
      </c>
      <c r="AT21" s="19">
        <f t="shared" si="18"/>
        <v>990</v>
      </c>
      <c r="AU21" s="19"/>
      <c r="AV21" s="19">
        <v>0</v>
      </c>
      <c r="AW21" s="19">
        <f t="shared" si="19"/>
        <v>990</v>
      </c>
      <c r="AX21" s="19">
        <f t="shared" si="20"/>
        <v>990</v>
      </c>
      <c r="AY21" s="19"/>
      <c r="AZ21" s="19">
        <v>0</v>
      </c>
      <c r="BA21" s="19">
        <f t="shared" si="21"/>
        <v>990</v>
      </c>
      <c r="BB21" s="2">
        <f t="shared" si="22"/>
        <v>7940</v>
      </c>
      <c r="BC21" s="30">
        <f t="shared" si="23"/>
        <v>1100</v>
      </c>
      <c r="BD21" s="30">
        <f t="shared" si="24"/>
        <v>990</v>
      </c>
      <c r="BE21" s="30">
        <f t="shared" si="25"/>
        <v>1045</v>
      </c>
      <c r="BF21" s="2">
        <f t="shared" si="26"/>
        <v>990</v>
      </c>
      <c r="BG21" s="2">
        <f t="shared" si="27"/>
        <v>1100</v>
      </c>
      <c r="BH21" s="2">
        <f t="shared" si="0"/>
        <v>7830</v>
      </c>
      <c r="BI21" s="2">
        <f t="shared" si="1"/>
        <v>8930</v>
      </c>
      <c r="BJ21" s="2">
        <f t="shared" si="28"/>
        <v>91.666666666666671</v>
      </c>
      <c r="BK21" s="29"/>
      <c r="BM21" s="2">
        <v>2000</v>
      </c>
      <c r="BN21" s="38">
        <f t="shared" si="29"/>
        <v>1.8181818181818181</v>
      </c>
      <c r="BO21" s="35">
        <v>1</v>
      </c>
      <c r="BP21" s="35">
        <v>1</v>
      </c>
      <c r="BQ21" s="35">
        <v>1</v>
      </c>
      <c r="BR21" s="36">
        <f t="shared" si="30"/>
        <v>8.545454545454545</v>
      </c>
      <c r="BS21" s="36">
        <f t="shared" si="2"/>
        <v>97.418181818181807</v>
      </c>
      <c r="BU21" s="37">
        <f t="shared" si="31"/>
        <v>0</v>
      </c>
      <c r="BV21" s="35">
        <v>1</v>
      </c>
      <c r="BW21" s="35">
        <v>1</v>
      </c>
    </row>
    <row r="22" spans="1:75" ht="19" x14ac:dyDescent="0.2">
      <c r="A22" s="4">
        <v>19</v>
      </c>
      <c r="B22" s="5">
        <v>92000445</v>
      </c>
      <c r="C22" s="4" t="s">
        <v>26</v>
      </c>
      <c r="D22" s="6" t="s">
        <v>6</v>
      </c>
      <c r="E22" s="16">
        <v>26082</v>
      </c>
      <c r="F22" s="11"/>
      <c r="G22" s="19"/>
      <c r="H22" s="19"/>
      <c r="I22" s="19">
        <f t="shared" si="32"/>
        <v>0</v>
      </c>
      <c r="J22" s="19">
        <f t="shared" si="33"/>
        <v>0</v>
      </c>
      <c r="K22" s="19"/>
      <c r="L22" s="19"/>
      <c r="M22" s="19">
        <f t="shared" si="34"/>
        <v>0</v>
      </c>
      <c r="N22" s="19">
        <f t="shared" si="35"/>
        <v>0</v>
      </c>
      <c r="O22" s="19"/>
      <c r="P22" s="19"/>
      <c r="Q22" s="19">
        <f t="shared" si="3"/>
        <v>0</v>
      </c>
      <c r="R22" s="19">
        <f t="shared" si="4"/>
        <v>0</v>
      </c>
      <c r="S22" s="19"/>
      <c r="T22" s="19"/>
      <c r="U22" s="19">
        <f t="shared" si="5"/>
        <v>0</v>
      </c>
      <c r="V22" s="19">
        <f t="shared" si="6"/>
        <v>0</v>
      </c>
      <c r="W22" s="19"/>
      <c r="X22" s="19">
        <v>0</v>
      </c>
      <c r="Y22" s="19">
        <f t="shared" si="7"/>
        <v>0</v>
      </c>
      <c r="Z22" s="19">
        <f t="shared" si="8"/>
        <v>0</v>
      </c>
      <c r="AA22" s="19"/>
      <c r="AB22" s="19"/>
      <c r="AC22" s="19">
        <f t="shared" si="9"/>
        <v>0</v>
      </c>
      <c r="AD22" s="19">
        <f t="shared" si="10"/>
        <v>0</v>
      </c>
      <c r="AE22" s="19">
        <v>700</v>
      </c>
      <c r="AF22" s="19">
        <v>217</v>
      </c>
      <c r="AG22" s="19">
        <f t="shared" si="11"/>
        <v>483</v>
      </c>
      <c r="AH22" s="19">
        <f t="shared" si="12"/>
        <v>483</v>
      </c>
      <c r="AI22" s="19"/>
      <c r="AJ22" s="19">
        <v>69</v>
      </c>
      <c r="AK22" s="19">
        <f t="shared" si="13"/>
        <v>414</v>
      </c>
      <c r="AL22" s="19">
        <f t="shared" si="14"/>
        <v>414</v>
      </c>
      <c r="AM22" s="19"/>
      <c r="AN22" s="19">
        <v>0</v>
      </c>
      <c r="AO22" s="19">
        <f t="shared" si="15"/>
        <v>414</v>
      </c>
      <c r="AP22" s="19">
        <f t="shared" si="16"/>
        <v>414</v>
      </c>
      <c r="AQ22" s="19"/>
      <c r="AR22" s="19">
        <v>0</v>
      </c>
      <c r="AS22" s="19">
        <f t="shared" si="17"/>
        <v>414</v>
      </c>
      <c r="AT22" s="19">
        <f t="shared" si="18"/>
        <v>414</v>
      </c>
      <c r="AU22" s="19"/>
      <c r="AV22" s="19">
        <v>0</v>
      </c>
      <c r="AW22" s="19">
        <f t="shared" si="19"/>
        <v>414</v>
      </c>
      <c r="AX22" s="19">
        <f t="shared" si="20"/>
        <v>414</v>
      </c>
      <c r="AY22" s="19">
        <v>1400</v>
      </c>
      <c r="AZ22" s="19">
        <v>30</v>
      </c>
      <c r="BA22" s="19">
        <f t="shared" si="21"/>
        <v>1784</v>
      </c>
      <c r="BB22" s="2">
        <f t="shared" si="22"/>
        <v>2139</v>
      </c>
      <c r="BC22" s="30">
        <v>700</v>
      </c>
      <c r="BD22" s="30">
        <f t="shared" si="24"/>
        <v>2484</v>
      </c>
      <c r="BE22" s="30">
        <f t="shared" si="25"/>
        <v>1592</v>
      </c>
      <c r="BF22" s="2">
        <f t="shared" si="26"/>
        <v>2100</v>
      </c>
      <c r="BG22" s="2">
        <f t="shared" si="27"/>
        <v>316</v>
      </c>
      <c r="BH22" s="2">
        <f t="shared" si="0"/>
        <v>3923</v>
      </c>
      <c r="BI22" s="2">
        <f t="shared" si="1"/>
        <v>4239</v>
      </c>
      <c r="BJ22" s="2">
        <f t="shared" si="28"/>
        <v>26.333333333333332</v>
      </c>
      <c r="BK22" s="29"/>
      <c r="BM22" s="2">
        <v>0</v>
      </c>
      <c r="BN22" s="38">
        <f t="shared" si="29"/>
        <v>0</v>
      </c>
      <c r="BO22" s="35">
        <v>1</v>
      </c>
      <c r="BP22" s="35">
        <v>1</v>
      </c>
      <c r="BQ22" s="35">
        <v>1</v>
      </c>
      <c r="BR22" s="36">
        <f t="shared" si="30"/>
        <v>2.6626884422110555</v>
      </c>
      <c r="BS22" s="36">
        <f t="shared" si="2"/>
        <v>160.97468354430382</v>
      </c>
      <c r="BU22" s="37">
        <f t="shared" si="31"/>
        <v>0</v>
      </c>
      <c r="BV22" s="35">
        <v>1</v>
      </c>
      <c r="BW22" s="35">
        <v>1</v>
      </c>
    </row>
    <row r="23" spans="1:75" ht="19" x14ac:dyDescent="0.2">
      <c r="A23" s="4">
        <v>20</v>
      </c>
      <c r="B23" s="5"/>
      <c r="C23" s="5" t="s">
        <v>62</v>
      </c>
      <c r="D23" s="7" t="s">
        <v>6</v>
      </c>
      <c r="E23" s="17"/>
      <c r="F23" s="11">
        <v>1860</v>
      </c>
      <c r="G23" s="19"/>
      <c r="H23" s="19">
        <v>190</v>
      </c>
      <c r="I23" s="19">
        <f t="shared" si="32"/>
        <v>1670</v>
      </c>
      <c r="J23" s="19">
        <f t="shared" si="33"/>
        <v>1670</v>
      </c>
      <c r="K23" s="19"/>
      <c r="L23" s="19">
        <v>610</v>
      </c>
      <c r="M23" s="19">
        <f t="shared" si="34"/>
        <v>1060</v>
      </c>
      <c r="N23" s="19">
        <f t="shared" si="35"/>
        <v>1060</v>
      </c>
      <c r="O23" s="19"/>
      <c r="P23" s="19">
        <v>620</v>
      </c>
      <c r="Q23" s="19">
        <f t="shared" si="3"/>
        <v>440</v>
      </c>
      <c r="R23" s="19">
        <f t="shared" si="4"/>
        <v>440</v>
      </c>
      <c r="S23" s="19"/>
      <c r="T23" s="19">
        <v>440</v>
      </c>
      <c r="U23" s="19">
        <f t="shared" si="5"/>
        <v>0</v>
      </c>
      <c r="V23" s="19">
        <f t="shared" si="6"/>
        <v>0</v>
      </c>
      <c r="W23" s="19"/>
      <c r="X23" s="19">
        <v>0</v>
      </c>
      <c r="Y23" s="19">
        <f t="shared" si="7"/>
        <v>0</v>
      </c>
      <c r="Z23" s="19">
        <f t="shared" si="8"/>
        <v>0</v>
      </c>
      <c r="AA23" s="19">
        <v>6000</v>
      </c>
      <c r="AB23" s="19">
        <v>400</v>
      </c>
      <c r="AC23" s="19">
        <f t="shared" si="9"/>
        <v>5600</v>
      </c>
      <c r="AD23" s="19">
        <f t="shared" si="10"/>
        <v>5600</v>
      </c>
      <c r="AE23" s="19"/>
      <c r="AF23" s="19">
        <v>820</v>
      </c>
      <c r="AG23" s="19">
        <f t="shared" si="11"/>
        <v>4780</v>
      </c>
      <c r="AH23" s="19">
        <f t="shared" si="12"/>
        <v>4780</v>
      </c>
      <c r="AI23" s="19"/>
      <c r="AJ23" s="19">
        <v>820</v>
      </c>
      <c r="AK23" s="19">
        <f t="shared" si="13"/>
        <v>3960</v>
      </c>
      <c r="AL23" s="19">
        <f t="shared" si="14"/>
        <v>3960</v>
      </c>
      <c r="AM23" s="19"/>
      <c r="AN23" s="19">
        <v>490</v>
      </c>
      <c r="AO23" s="19">
        <f t="shared" si="15"/>
        <v>3470</v>
      </c>
      <c r="AP23" s="19">
        <f t="shared" si="16"/>
        <v>3470</v>
      </c>
      <c r="AQ23" s="19"/>
      <c r="AR23" s="19">
        <v>1220</v>
      </c>
      <c r="AS23" s="19">
        <f t="shared" si="17"/>
        <v>2250</v>
      </c>
      <c r="AT23" s="19">
        <f t="shared" si="18"/>
        <v>2250</v>
      </c>
      <c r="AU23" s="19"/>
      <c r="AV23" s="19">
        <v>1270</v>
      </c>
      <c r="AW23" s="19">
        <f t="shared" si="19"/>
        <v>980</v>
      </c>
      <c r="AX23" s="19">
        <f t="shared" si="20"/>
        <v>980</v>
      </c>
      <c r="AY23" s="19">
        <v>6000</v>
      </c>
      <c r="AZ23" s="19">
        <v>340</v>
      </c>
      <c r="BA23" s="19">
        <f t="shared" si="21"/>
        <v>6640</v>
      </c>
      <c r="BB23" s="2">
        <f t="shared" si="22"/>
        <v>26070</v>
      </c>
      <c r="BC23" s="30">
        <f t="shared" si="23"/>
        <v>1860</v>
      </c>
      <c r="BD23" s="30">
        <f t="shared" si="24"/>
        <v>6640</v>
      </c>
      <c r="BE23" s="30">
        <f t="shared" si="25"/>
        <v>4250</v>
      </c>
      <c r="BF23" s="2">
        <f t="shared" si="26"/>
        <v>12000</v>
      </c>
      <c r="BG23" s="2">
        <f t="shared" si="27"/>
        <v>7220</v>
      </c>
      <c r="BH23" s="2">
        <f t="shared" si="0"/>
        <v>30850</v>
      </c>
      <c r="BI23" s="2">
        <f t="shared" si="1"/>
        <v>38070</v>
      </c>
      <c r="BJ23" s="2">
        <f t="shared" si="28"/>
        <v>601.66666666666663</v>
      </c>
      <c r="BK23" s="29"/>
      <c r="BM23" s="2">
        <v>10000</v>
      </c>
      <c r="BN23" s="38">
        <f t="shared" si="29"/>
        <v>1.3850415512465375</v>
      </c>
      <c r="BO23" s="35">
        <v>1</v>
      </c>
      <c r="BP23" s="35">
        <v>1</v>
      </c>
      <c r="BQ23" s="35">
        <v>1</v>
      </c>
      <c r="BR23" s="36">
        <f t="shared" si="30"/>
        <v>8.9576470588235289</v>
      </c>
      <c r="BS23" s="36">
        <f t="shared" si="2"/>
        <v>63.274238227146817</v>
      </c>
      <c r="BU23" s="37">
        <f t="shared" si="31"/>
        <v>0</v>
      </c>
      <c r="BV23" s="35">
        <v>1</v>
      </c>
      <c r="BW23" s="35">
        <v>1</v>
      </c>
    </row>
    <row r="24" spans="1:75" ht="19" x14ac:dyDescent="0.2">
      <c r="A24" s="4">
        <v>21</v>
      </c>
      <c r="B24" s="5">
        <v>92001124</v>
      </c>
      <c r="C24" s="5" t="s">
        <v>27</v>
      </c>
      <c r="D24" s="7" t="s">
        <v>6</v>
      </c>
      <c r="E24" s="23">
        <f>13431/100</f>
        <v>134.31</v>
      </c>
      <c r="F24" s="11">
        <v>27960</v>
      </c>
      <c r="G24" s="19"/>
      <c r="H24" s="19">
        <v>3960</v>
      </c>
      <c r="I24" s="19">
        <f t="shared" si="32"/>
        <v>24000</v>
      </c>
      <c r="J24" s="19">
        <f t="shared" si="33"/>
        <v>24000</v>
      </c>
      <c r="K24" s="19"/>
      <c r="L24" s="19">
        <v>3600</v>
      </c>
      <c r="M24" s="19">
        <f t="shared" si="34"/>
        <v>20400</v>
      </c>
      <c r="N24" s="19">
        <f t="shared" si="35"/>
        <v>20400</v>
      </c>
      <c r="O24" s="19"/>
      <c r="P24" s="19">
        <v>3600</v>
      </c>
      <c r="Q24" s="19">
        <f t="shared" si="3"/>
        <v>16800</v>
      </c>
      <c r="R24" s="19">
        <f t="shared" si="4"/>
        <v>16800</v>
      </c>
      <c r="S24" s="19"/>
      <c r="T24" s="19">
        <v>3600</v>
      </c>
      <c r="U24" s="19">
        <f t="shared" si="5"/>
        <v>13200</v>
      </c>
      <c r="V24" s="19">
        <f t="shared" si="6"/>
        <v>13200</v>
      </c>
      <c r="W24" s="19"/>
      <c r="X24" s="19">
        <v>0</v>
      </c>
      <c r="Y24" s="19">
        <f t="shared" si="7"/>
        <v>13200</v>
      </c>
      <c r="Z24" s="19">
        <f t="shared" si="8"/>
        <v>13200</v>
      </c>
      <c r="AA24" s="19">
        <v>20000</v>
      </c>
      <c r="AB24" s="19">
        <v>6200</v>
      </c>
      <c r="AC24" s="19">
        <f t="shared" si="9"/>
        <v>27000</v>
      </c>
      <c r="AD24" s="19">
        <f t="shared" si="10"/>
        <v>27000</v>
      </c>
      <c r="AE24" s="19"/>
      <c r="AF24" s="19">
        <v>2200</v>
      </c>
      <c r="AG24" s="19">
        <f t="shared" si="11"/>
        <v>24800</v>
      </c>
      <c r="AH24" s="19">
        <f t="shared" si="12"/>
        <v>24800</v>
      </c>
      <c r="AI24" s="19"/>
      <c r="AJ24" s="19">
        <v>4000</v>
      </c>
      <c r="AK24" s="19">
        <f t="shared" si="13"/>
        <v>20800</v>
      </c>
      <c r="AL24" s="19">
        <f t="shared" si="14"/>
        <v>20800</v>
      </c>
      <c r="AM24" s="19"/>
      <c r="AN24" s="19">
        <v>1700</v>
      </c>
      <c r="AO24" s="19">
        <f t="shared" si="15"/>
        <v>19100</v>
      </c>
      <c r="AP24" s="19">
        <f t="shared" si="16"/>
        <v>19100</v>
      </c>
      <c r="AQ24" s="19">
        <v>15000</v>
      </c>
      <c r="AR24" s="19">
        <v>2680</v>
      </c>
      <c r="AS24" s="19">
        <f t="shared" si="17"/>
        <v>31420</v>
      </c>
      <c r="AT24" s="19">
        <f t="shared" si="18"/>
        <v>31420</v>
      </c>
      <c r="AU24" s="19"/>
      <c r="AV24" s="19">
        <v>4210</v>
      </c>
      <c r="AW24" s="19">
        <f t="shared" si="19"/>
        <v>27210</v>
      </c>
      <c r="AX24" s="19">
        <f t="shared" si="20"/>
        <v>27210</v>
      </c>
      <c r="AY24" s="19"/>
      <c r="AZ24" s="19">
        <v>3600</v>
      </c>
      <c r="BA24" s="19">
        <f t="shared" si="21"/>
        <v>23610</v>
      </c>
      <c r="BB24" s="2">
        <f t="shared" si="22"/>
        <v>265890</v>
      </c>
      <c r="BC24" s="30">
        <f t="shared" si="23"/>
        <v>27960</v>
      </c>
      <c r="BD24" s="30">
        <f t="shared" si="24"/>
        <v>23610</v>
      </c>
      <c r="BE24" s="30">
        <f t="shared" si="25"/>
        <v>25785</v>
      </c>
      <c r="BF24" s="2">
        <f t="shared" si="26"/>
        <v>35000</v>
      </c>
      <c r="BG24" s="2">
        <f t="shared" si="27"/>
        <v>39350</v>
      </c>
      <c r="BH24" s="2">
        <f t="shared" si="0"/>
        <v>261540</v>
      </c>
      <c r="BI24" s="2">
        <f t="shared" si="1"/>
        <v>300890</v>
      </c>
      <c r="BJ24" s="2">
        <f t="shared" si="28"/>
        <v>3279.1666666666665</v>
      </c>
      <c r="BK24" s="29"/>
      <c r="BM24" s="2">
        <v>30000</v>
      </c>
      <c r="BN24" s="38">
        <f t="shared" si="29"/>
        <v>0.76238881829733163</v>
      </c>
      <c r="BO24" s="35">
        <v>1</v>
      </c>
      <c r="BP24" s="35">
        <v>1</v>
      </c>
      <c r="BQ24" s="35">
        <v>1</v>
      </c>
      <c r="BR24" s="36">
        <f t="shared" si="30"/>
        <v>11.66918751211945</v>
      </c>
      <c r="BS24" s="36">
        <f t="shared" si="2"/>
        <v>91.758068614993647</v>
      </c>
      <c r="BU24" s="37">
        <f t="shared" si="31"/>
        <v>0</v>
      </c>
      <c r="BV24" s="35">
        <v>1</v>
      </c>
      <c r="BW24" s="35">
        <v>1</v>
      </c>
    </row>
    <row r="25" spans="1:75" ht="19" x14ac:dyDescent="0.2">
      <c r="A25" s="4">
        <v>22</v>
      </c>
      <c r="B25" s="5"/>
      <c r="C25" s="5" t="s">
        <v>28</v>
      </c>
      <c r="D25" s="7"/>
      <c r="E25" s="23">
        <f>20115/100</f>
        <v>201.15</v>
      </c>
      <c r="F25" s="11">
        <v>6600</v>
      </c>
      <c r="G25" s="19"/>
      <c r="H25" s="19">
        <v>600</v>
      </c>
      <c r="I25" s="19">
        <f t="shared" si="32"/>
        <v>6000</v>
      </c>
      <c r="J25" s="19">
        <f t="shared" si="33"/>
        <v>6000</v>
      </c>
      <c r="K25" s="19"/>
      <c r="L25" s="19">
        <v>900</v>
      </c>
      <c r="M25" s="19">
        <f t="shared" si="34"/>
        <v>5100</v>
      </c>
      <c r="N25" s="19">
        <f t="shared" si="35"/>
        <v>5100</v>
      </c>
      <c r="O25" s="19"/>
      <c r="P25" s="19">
        <v>500</v>
      </c>
      <c r="Q25" s="19">
        <f t="shared" si="3"/>
        <v>4600</v>
      </c>
      <c r="R25" s="19">
        <f t="shared" si="4"/>
        <v>4600</v>
      </c>
      <c r="S25" s="19"/>
      <c r="T25" s="19">
        <v>500</v>
      </c>
      <c r="U25" s="19">
        <f t="shared" si="5"/>
        <v>4100</v>
      </c>
      <c r="V25" s="19">
        <f t="shared" si="6"/>
        <v>4100</v>
      </c>
      <c r="W25" s="19"/>
      <c r="X25" s="19">
        <v>400</v>
      </c>
      <c r="Y25" s="19">
        <f t="shared" si="7"/>
        <v>3700</v>
      </c>
      <c r="Z25" s="19">
        <f t="shared" si="8"/>
        <v>3700</v>
      </c>
      <c r="AA25" s="19"/>
      <c r="AB25" s="19">
        <v>500</v>
      </c>
      <c r="AC25" s="19">
        <f t="shared" si="9"/>
        <v>3200</v>
      </c>
      <c r="AD25" s="19">
        <f t="shared" si="10"/>
        <v>3200</v>
      </c>
      <c r="AE25" s="19"/>
      <c r="AF25" s="19">
        <v>400</v>
      </c>
      <c r="AG25" s="19">
        <f t="shared" si="11"/>
        <v>2800</v>
      </c>
      <c r="AH25" s="19">
        <f t="shared" si="12"/>
        <v>2800</v>
      </c>
      <c r="AI25" s="19"/>
      <c r="AJ25" s="19">
        <v>600</v>
      </c>
      <c r="AK25" s="19">
        <f t="shared" si="13"/>
        <v>2200</v>
      </c>
      <c r="AL25" s="19">
        <f t="shared" si="14"/>
        <v>2200</v>
      </c>
      <c r="AM25" s="19"/>
      <c r="AN25" s="19">
        <v>400</v>
      </c>
      <c r="AO25" s="19">
        <f t="shared" si="15"/>
        <v>1800</v>
      </c>
      <c r="AP25" s="19">
        <f t="shared" si="16"/>
        <v>1800</v>
      </c>
      <c r="AQ25" s="19"/>
      <c r="AR25" s="19">
        <v>100</v>
      </c>
      <c r="AS25" s="19">
        <f t="shared" si="17"/>
        <v>1700</v>
      </c>
      <c r="AT25" s="19">
        <f t="shared" si="18"/>
        <v>1700</v>
      </c>
      <c r="AU25" s="19"/>
      <c r="AV25" s="19">
        <v>100</v>
      </c>
      <c r="AW25" s="19">
        <f t="shared" si="19"/>
        <v>1600</v>
      </c>
      <c r="AX25" s="19">
        <f t="shared" si="20"/>
        <v>1600</v>
      </c>
      <c r="AY25" s="19"/>
      <c r="AZ25" s="19">
        <v>1600</v>
      </c>
      <c r="BA25" s="19">
        <f t="shared" si="21"/>
        <v>0</v>
      </c>
      <c r="BB25" s="2">
        <f t="shared" si="22"/>
        <v>43400</v>
      </c>
      <c r="BC25" s="30">
        <f t="shared" si="23"/>
        <v>6600</v>
      </c>
      <c r="BD25" s="30">
        <f t="shared" si="24"/>
        <v>0</v>
      </c>
      <c r="BE25" s="30">
        <f t="shared" si="25"/>
        <v>3300</v>
      </c>
      <c r="BF25" s="2">
        <f t="shared" si="26"/>
        <v>0</v>
      </c>
      <c r="BG25" s="2">
        <f t="shared" si="27"/>
        <v>6600</v>
      </c>
      <c r="BH25" s="2">
        <f t="shared" si="0"/>
        <v>36800</v>
      </c>
      <c r="BI25" s="2">
        <f t="shared" si="1"/>
        <v>43400</v>
      </c>
      <c r="BJ25" s="2">
        <f t="shared" si="28"/>
        <v>550</v>
      </c>
      <c r="BK25" s="29"/>
      <c r="BM25" s="2">
        <v>20000</v>
      </c>
      <c r="BN25" s="38">
        <f t="shared" si="29"/>
        <v>3.0303030303030303</v>
      </c>
      <c r="BO25" s="35">
        <v>1</v>
      </c>
      <c r="BP25" s="35">
        <v>1</v>
      </c>
      <c r="BQ25" s="35">
        <v>1</v>
      </c>
      <c r="BR25" s="36">
        <f t="shared" si="30"/>
        <v>13.151515151515152</v>
      </c>
      <c r="BS25" s="36">
        <f t="shared" si="2"/>
        <v>78.909090909090907</v>
      </c>
      <c r="BU25" s="37">
        <f t="shared" si="31"/>
        <v>0</v>
      </c>
      <c r="BV25" s="35">
        <v>1</v>
      </c>
      <c r="BW25" s="35">
        <v>1</v>
      </c>
    </row>
    <row r="26" spans="1:75" ht="19" x14ac:dyDescent="0.2">
      <c r="A26" s="4">
        <v>23</v>
      </c>
      <c r="B26" s="5">
        <v>92000572</v>
      </c>
      <c r="C26" s="4" t="s">
        <v>29</v>
      </c>
      <c r="D26" s="6" t="s">
        <v>16</v>
      </c>
      <c r="E26" s="25">
        <v>1763.9</v>
      </c>
      <c r="F26" s="11">
        <v>149</v>
      </c>
      <c r="G26" s="19"/>
      <c r="H26" s="19">
        <v>60</v>
      </c>
      <c r="I26" s="19">
        <f t="shared" si="32"/>
        <v>89</v>
      </c>
      <c r="J26" s="19">
        <f t="shared" si="33"/>
        <v>89</v>
      </c>
      <c r="K26" s="19">
        <v>150</v>
      </c>
      <c r="L26" s="19">
        <v>45</v>
      </c>
      <c r="M26" s="19">
        <f t="shared" si="34"/>
        <v>194</v>
      </c>
      <c r="N26" s="19">
        <f t="shared" si="35"/>
        <v>194</v>
      </c>
      <c r="O26" s="19"/>
      <c r="P26" s="19">
        <v>44</v>
      </c>
      <c r="Q26" s="19">
        <f t="shared" si="3"/>
        <v>150</v>
      </c>
      <c r="R26" s="19">
        <f t="shared" si="4"/>
        <v>150</v>
      </c>
      <c r="S26" s="19"/>
      <c r="T26" s="19">
        <v>49</v>
      </c>
      <c r="U26" s="19">
        <f t="shared" si="5"/>
        <v>101</v>
      </c>
      <c r="V26" s="19">
        <f t="shared" si="6"/>
        <v>101</v>
      </c>
      <c r="W26" s="19"/>
      <c r="X26" s="19">
        <v>22</v>
      </c>
      <c r="Y26" s="19">
        <f t="shared" si="7"/>
        <v>79</v>
      </c>
      <c r="Z26" s="19">
        <f t="shared" si="8"/>
        <v>79</v>
      </c>
      <c r="AA26" s="19">
        <v>50</v>
      </c>
      <c r="AB26" s="19">
        <v>8</v>
      </c>
      <c r="AC26" s="19">
        <f t="shared" si="9"/>
        <v>121</v>
      </c>
      <c r="AD26" s="19">
        <f t="shared" si="10"/>
        <v>121</v>
      </c>
      <c r="AE26" s="19"/>
      <c r="AF26" s="19">
        <v>17</v>
      </c>
      <c r="AG26" s="19">
        <f t="shared" si="11"/>
        <v>104</v>
      </c>
      <c r="AH26" s="19">
        <f t="shared" si="12"/>
        <v>104</v>
      </c>
      <c r="AI26" s="19">
        <v>100</v>
      </c>
      <c r="AJ26" s="19">
        <v>59</v>
      </c>
      <c r="AK26" s="19">
        <f t="shared" si="13"/>
        <v>145</v>
      </c>
      <c r="AL26" s="19">
        <f t="shared" si="14"/>
        <v>145</v>
      </c>
      <c r="AM26" s="19"/>
      <c r="AN26" s="19">
        <v>10</v>
      </c>
      <c r="AO26" s="19">
        <f t="shared" si="15"/>
        <v>135</v>
      </c>
      <c r="AP26" s="19">
        <f t="shared" si="16"/>
        <v>135</v>
      </c>
      <c r="AQ26" s="19"/>
      <c r="AR26" s="19">
        <v>30</v>
      </c>
      <c r="AS26" s="19">
        <f t="shared" si="17"/>
        <v>105</v>
      </c>
      <c r="AT26" s="19">
        <f t="shared" si="18"/>
        <v>105</v>
      </c>
      <c r="AU26" s="19"/>
      <c r="AV26" s="19">
        <v>33</v>
      </c>
      <c r="AW26" s="19">
        <f t="shared" si="19"/>
        <v>72</v>
      </c>
      <c r="AX26" s="19">
        <f t="shared" si="20"/>
        <v>72</v>
      </c>
      <c r="AY26" s="19">
        <v>150</v>
      </c>
      <c r="AZ26" s="19">
        <v>63</v>
      </c>
      <c r="BA26" s="19">
        <f t="shared" si="21"/>
        <v>159</v>
      </c>
      <c r="BB26" s="2">
        <f t="shared" si="22"/>
        <v>1444</v>
      </c>
      <c r="BC26" s="30">
        <f t="shared" si="23"/>
        <v>149</v>
      </c>
      <c r="BD26" s="30">
        <f t="shared" si="24"/>
        <v>159</v>
      </c>
      <c r="BE26" s="30">
        <f t="shared" si="25"/>
        <v>154</v>
      </c>
      <c r="BF26" s="2">
        <f t="shared" si="26"/>
        <v>450</v>
      </c>
      <c r="BG26" s="2">
        <f t="shared" si="27"/>
        <v>440</v>
      </c>
      <c r="BH26" s="2">
        <f t="shared" si="0"/>
        <v>1454</v>
      </c>
      <c r="BI26" s="2">
        <f t="shared" si="1"/>
        <v>1894</v>
      </c>
      <c r="BJ26" s="2">
        <f t="shared" si="28"/>
        <v>36.666666666666664</v>
      </c>
      <c r="BK26" s="29"/>
      <c r="BM26" s="2">
        <v>500</v>
      </c>
      <c r="BN26" s="38">
        <f t="shared" si="29"/>
        <v>1.1363636363636365</v>
      </c>
      <c r="BO26" s="35">
        <v>1</v>
      </c>
      <c r="BP26" s="35">
        <v>1</v>
      </c>
      <c r="BQ26" s="35">
        <v>1</v>
      </c>
      <c r="BR26" s="36">
        <f t="shared" si="30"/>
        <v>12.2987012987013</v>
      </c>
      <c r="BS26" s="36">
        <f t="shared" si="2"/>
        <v>51.654545454545456</v>
      </c>
      <c r="BU26" s="37">
        <f t="shared" si="31"/>
        <v>0</v>
      </c>
      <c r="BV26" s="35">
        <v>1</v>
      </c>
      <c r="BW26" s="35">
        <v>1</v>
      </c>
    </row>
    <row r="27" spans="1:75" ht="19" x14ac:dyDescent="0.2">
      <c r="A27" s="4">
        <v>24</v>
      </c>
      <c r="B27" s="5">
        <v>92000706</v>
      </c>
      <c r="C27" s="4" t="s">
        <v>30</v>
      </c>
      <c r="D27" s="6" t="s">
        <v>6</v>
      </c>
      <c r="E27" s="16">
        <v>83.75</v>
      </c>
      <c r="F27" s="19">
        <v>1010</v>
      </c>
      <c r="G27" s="19"/>
      <c r="H27" s="19">
        <v>50</v>
      </c>
      <c r="I27" s="19">
        <f t="shared" si="32"/>
        <v>960</v>
      </c>
      <c r="J27" s="19">
        <f t="shared" si="33"/>
        <v>960</v>
      </c>
      <c r="K27" s="19"/>
      <c r="L27" s="19">
        <v>0</v>
      </c>
      <c r="M27" s="19">
        <f t="shared" si="34"/>
        <v>960</v>
      </c>
      <c r="N27" s="19">
        <f t="shared" si="35"/>
        <v>960</v>
      </c>
      <c r="O27" s="19"/>
      <c r="P27" s="19">
        <v>0</v>
      </c>
      <c r="Q27" s="19">
        <f t="shared" si="3"/>
        <v>960</v>
      </c>
      <c r="R27" s="19">
        <f t="shared" si="4"/>
        <v>960</v>
      </c>
      <c r="S27" s="19"/>
      <c r="T27" s="19">
        <v>0</v>
      </c>
      <c r="U27" s="19">
        <f t="shared" si="5"/>
        <v>960</v>
      </c>
      <c r="V27" s="19">
        <f t="shared" si="6"/>
        <v>960</v>
      </c>
      <c r="W27" s="19"/>
      <c r="X27" s="19">
        <v>20</v>
      </c>
      <c r="Y27" s="19">
        <f t="shared" si="7"/>
        <v>940</v>
      </c>
      <c r="Z27" s="19">
        <f t="shared" si="8"/>
        <v>940</v>
      </c>
      <c r="AA27" s="19"/>
      <c r="AB27" s="19">
        <v>0</v>
      </c>
      <c r="AC27" s="19">
        <f t="shared" si="9"/>
        <v>940</v>
      </c>
      <c r="AD27" s="19">
        <f t="shared" si="10"/>
        <v>940</v>
      </c>
      <c r="AE27" s="19"/>
      <c r="AF27" s="19">
        <v>0</v>
      </c>
      <c r="AG27" s="19">
        <f t="shared" si="11"/>
        <v>940</v>
      </c>
      <c r="AH27" s="19">
        <f t="shared" si="12"/>
        <v>940</v>
      </c>
      <c r="AI27" s="19"/>
      <c r="AJ27" s="19">
        <v>0</v>
      </c>
      <c r="AK27" s="19">
        <f t="shared" si="13"/>
        <v>940</v>
      </c>
      <c r="AL27" s="19">
        <f t="shared" si="14"/>
        <v>940</v>
      </c>
      <c r="AM27" s="19"/>
      <c r="AN27" s="19">
        <v>0</v>
      </c>
      <c r="AO27" s="19">
        <f t="shared" si="15"/>
        <v>940</v>
      </c>
      <c r="AP27" s="19">
        <f t="shared" si="16"/>
        <v>940</v>
      </c>
      <c r="AQ27" s="19"/>
      <c r="AR27" s="19">
        <v>0</v>
      </c>
      <c r="AS27" s="19">
        <f t="shared" si="17"/>
        <v>940</v>
      </c>
      <c r="AT27" s="19">
        <f t="shared" si="18"/>
        <v>940</v>
      </c>
      <c r="AU27" s="19"/>
      <c r="AV27" s="19">
        <v>0</v>
      </c>
      <c r="AW27" s="19">
        <f t="shared" si="19"/>
        <v>940</v>
      </c>
      <c r="AX27" s="19">
        <f t="shared" si="20"/>
        <v>940</v>
      </c>
      <c r="AY27" s="19"/>
      <c r="AZ27" s="19">
        <v>0</v>
      </c>
      <c r="BA27" s="19">
        <f t="shared" si="21"/>
        <v>940</v>
      </c>
      <c r="BB27" s="2">
        <f t="shared" si="22"/>
        <v>11430</v>
      </c>
      <c r="BC27" s="30">
        <f t="shared" si="23"/>
        <v>1010</v>
      </c>
      <c r="BD27" s="30">
        <f t="shared" si="24"/>
        <v>940</v>
      </c>
      <c r="BE27" s="30">
        <f t="shared" si="25"/>
        <v>975</v>
      </c>
      <c r="BF27" s="2">
        <f t="shared" si="26"/>
        <v>0</v>
      </c>
      <c r="BG27" s="2">
        <f t="shared" si="27"/>
        <v>70</v>
      </c>
      <c r="BH27" s="2">
        <f t="shared" si="0"/>
        <v>11360</v>
      </c>
      <c r="BI27" s="2">
        <f t="shared" si="1"/>
        <v>11430</v>
      </c>
      <c r="BJ27" s="2">
        <f t="shared" si="28"/>
        <v>5.833333333333333</v>
      </c>
      <c r="BK27" s="29"/>
      <c r="BM27" s="2">
        <v>2000</v>
      </c>
      <c r="BN27" s="38">
        <f t="shared" si="29"/>
        <v>28.571428571428573</v>
      </c>
      <c r="BO27" s="35">
        <v>1</v>
      </c>
      <c r="BP27" s="35">
        <v>1</v>
      </c>
      <c r="BQ27" s="35">
        <v>1</v>
      </c>
      <c r="BR27" s="36">
        <f t="shared" si="30"/>
        <v>11.723076923076922</v>
      </c>
      <c r="BS27" s="36">
        <f t="shared" si="2"/>
        <v>1959.4285714285716</v>
      </c>
      <c r="BU27" s="37">
        <f t="shared" si="31"/>
        <v>0</v>
      </c>
      <c r="BV27" s="35">
        <v>1</v>
      </c>
      <c r="BW27" s="35">
        <v>1</v>
      </c>
    </row>
    <row r="28" spans="1:75" ht="19" x14ac:dyDescent="0.2">
      <c r="A28" s="4">
        <v>25</v>
      </c>
      <c r="B28" s="5">
        <v>92001386</v>
      </c>
      <c r="C28" s="5" t="s">
        <v>31</v>
      </c>
      <c r="D28" s="7" t="s">
        <v>6</v>
      </c>
      <c r="E28" s="23">
        <f>33964.89/100</f>
        <v>339.64889999999997</v>
      </c>
      <c r="F28" s="11">
        <v>400</v>
      </c>
      <c r="G28" s="19"/>
      <c r="H28" s="19"/>
      <c r="I28" s="19">
        <f t="shared" si="32"/>
        <v>400</v>
      </c>
      <c r="J28" s="19">
        <f t="shared" si="33"/>
        <v>400</v>
      </c>
      <c r="K28" s="19"/>
      <c r="L28" s="19">
        <v>0</v>
      </c>
      <c r="M28" s="19">
        <f t="shared" si="34"/>
        <v>400</v>
      </c>
      <c r="N28" s="19">
        <f t="shared" si="35"/>
        <v>400</v>
      </c>
      <c r="O28" s="19"/>
      <c r="P28" s="19">
        <v>0</v>
      </c>
      <c r="Q28" s="19">
        <f t="shared" si="3"/>
        <v>400</v>
      </c>
      <c r="R28" s="19">
        <f t="shared" si="4"/>
        <v>400</v>
      </c>
      <c r="S28" s="19"/>
      <c r="T28" s="19">
        <v>0</v>
      </c>
      <c r="U28" s="19">
        <f t="shared" si="5"/>
        <v>400</v>
      </c>
      <c r="V28" s="19">
        <f t="shared" si="6"/>
        <v>400</v>
      </c>
      <c r="W28" s="19"/>
      <c r="X28" s="19">
        <v>200</v>
      </c>
      <c r="Y28" s="19">
        <f t="shared" si="7"/>
        <v>200</v>
      </c>
      <c r="Z28" s="19">
        <f t="shared" si="8"/>
        <v>200</v>
      </c>
      <c r="AA28" s="19"/>
      <c r="AB28" s="19">
        <v>0</v>
      </c>
      <c r="AC28" s="19">
        <f t="shared" si="9"/>
        <v>200</v>
      </c>
      <c r="AD28" s="19">
        <f t="shared" si="10"/>
        <v>200</v>
      </c>
      <c r="AE28" s="19"/>
      <c r="AF28" s="19">
        <v>0</v>
      </c>
      <c r="AG28" s="19">
        <f t="shared" si="11"/>
        <v>200</v>
      </c>
      <c r="AH28" s="19">
        <f t="shared" si="12"/>
        <v>200</v>
      </c>
      <c r="AI28" s="19"/>
      <c r="AJ28" s="19">
        <v>0</v>
      </c>
      <c r="AK28" s="19">
        <f t="shared" si="13"/>
        <v>200</v>
      </c>
      <c r="AL28" s="19">
        <f t="shared" si="14"/>
        <v>200</v>
      </c>
      <c r="AM28" s="19"/>
      <c r="AN28" s="19">
        <v>0</v>
      </c>
      <c r="AO28" s="19">
        <f t="shared" si="15"/>
        <v>200</v>
      </c>
      <c r="AP28" s="19">
        <f t="shared" si="16"/>
        <v>200</v>
      </c>
      <c r="AQ28" s="19">
        <v>600</v>
      </c>
      <c r="AR28" s="19">
        <v>0</v>
      </c>
      <c r="AS28" s="19">
        <f t="shared" si="17"/>
        <v>800</v>
      </c>
      <c r="AT28" s="19">
        <f t="shared" si="18"/>
        <v>800</v>
      </c>
      <c r="AU28" s="19"/>
      <c r="AV28" s="19">
        <v>100</v>
      </c>
      <c r="AW28" s="19">
        <f t="shared" si="19"/>
        <v>700</v>
      </c>
      <c r="AX28" s="19">
        <f t="shared" si="20"/>
        <v>700</v>
      </c>
      <c r="AY28" s="19"/>
      <c r="AZ28" s="19">
        <v>100</v>
      </c>
      <c r="BA28" s="19">
        <f t="shared" si="21"/>
        <v>600</v>
      </c>
      <c r="BB28" s="2">
        <f t="shared" si="22"/>
        <v>4500</v>
      </c>
      <c r="BC28" s="30">
        <f t="shared" si="23"/>
        <v>400</v>
      </c>
      <c r="BD28" s="30">
        <f t="shared" si="24"/>
        <v>600</v>
      </c>
      <c r="BE28" s="30">
        <f t="shared" si="25"/>
        <v>500</v>
      </c>
      <c r="BF28" s="2">
        <f t="shared" si="26"/>
        <v>600</v>
      </c>
      <c r="BG28" s="2">
        <f t="shared" si="27"/>
        <v>400</v>
      </c>
      <c r="BH28" s="2">
        <f t="shared" si="0"/>
        <v>4700</v>
      </c>
      <c r="BI28" s="2">
        <f t="shared" si="1"/>
        <v>5100</v>
      </c>
      <c r="BJ28" s="2">
        <f t="shared" si="28"/>
        <v>33.333333333333336</v>
      </c>
      <c r="BK28" s="29"/>
      <c r="BM28" s="2">
        <v>5000</v>
      </c>
      <c r="BN28" s="38">
        <f t="shared" si="29"/>
        <v>12.5</v>
      </c>
      <c r="BO28" s="35">
        <v>1</v>
      </c>
      <c r="BP28" s="35">
        <v>1</v>
      </c>
      <c r="BQ28" s="35">
        <v>1</v>
      </c>
      <c r="BR28" s="36">
        <f t="shared" si="30"/>
        <v>10.199999999999999</v>
      </c>
      <c r="BS28" s="36">
        <f t="shared" si="2"/>
        <v>153</v>
      </c>
      <c r="BU28" s="37">
        <f t="shared" si="31"/>
        <v>0</v>
      </c>
      <c r="BV28" s="35">
        <v>1</v>
      </c>
      <c r="BW28" s="35">
        <v>1</v>
      </c>
    </row>
    <row r="29" spans="1:75" ht="19" x14ac:dyDescent="0.2">
      <c r="A29" s="4">
        <v>26</v>
      </c>
      <c r="B29" s="5">
        <v>92000986</v>
      </c>
      <c r="C29" s="5" t="s">
        <v>32</v>
      </c>
      <c r="D29" s="7" t="s">
        <v>22</v>
      </c>
      <c r="E29" s="23">
        <f>212588/100</f>
        <v>2125.88</v>
      </c>
      <c r="F29" s="11">
        <v>700</v>
      </c>
      <c r="G29" s="19"/>
      <c r="H29" s="19"/>
      <c r="I29" s="19">
        <f t="shared" si="32"/>
        <v>700</v>
      </c>
      <c r="J29" s="19">
        <f t="shared" si="33"/>
        <v>700</v>
      </c>
      <c r="K29" s="19"/>
      <c r="L29" s="19">
        <v>0</v>
      </c>
      <c r="M29" s="19">
        <f t="shared" si="34"/>
        <v>700</v>
      </c>
      <c r="N29" s="19">
        <f t="shared" si="35"/>
        <v>700</v>
      </c>
      <c r="O29" s="19"/>
      <c r="P29" s="19">
        <v>0</v>
      </c>
      <c r="Q29" s="19">
        <f t="shared" si="3"/>
        <v>700</v>
      </c>
      <c r="R29" s="19">
        <f t="shared" si="4"/>
        <v>700</v>
      </c>
      <c r="S29" s="19"/>
      <c r="T29" s="19">
        <v>0</v>
      </c>
      <c r="U29" s="19">
        <f t="shared" si="5"/>
        <v>700</v>
      </c>
      <c r="V29" s="19">
        <f t="shared" si="6"/>
        <v>700</v>
      </c>
      <c r="W29" s="19"/>
      <c r="X29" s="19">
        <v>0</v>
      </c>
      <c r="Y29" s="19">
        <f t="shared" si="7"/>
        <v>700</v>
      </c>
      <c r="Z29" s="19">
        <f t="shared" si="8"/>
        <v>700</v>
      </c>
      <c r="AA29" s="19"/>
      <c r="AB29" s="19">
        <v>0</v>
      </c>
      <c r="AC29" s="19">
        <f t="shared" si="9"/>
        <v>700</v>
      </c>
      <c r="AD29" s="19">
        <f t="shared" si="10"/>
        <v>700</v>
      </c>
      <c r="AE29" s="19"/>
      <c r="AF29" s="19">
        <v>0</v>
      </c>
      <c r="AG29" s="19">
        <f t="shared" si="11"/>
        <v>700</v>
      </c>
      <c r="AH29" s="19">
        <f t="shared" si="12"/>
        <v>700</v>
      </c>
      <c r="AI29" s="19"/>
      <c r="AJ29" s="19">
        <v>0</v>
      </c>
      <c r="AK29" s="19">
        <f t="shared" si="13"/>
        <v>700</v>
      </c>
      <c r="AL29" s="19">
        <f t="shared" si="14"/>
        <v>700</v>
      </c>
      <c r="AM29" s="19"/>
      <c r="AN29" s="19">
        <v>100</v>
      </c>
      <c r="AO29" s="19">
        <f t="shared" si="15"/>
        <v>600</v>
      </c>
      <c r="AP29" s="19">
        <f t="shared" si="16"/>
        <v>600</v>
      </c>
      <c r="AQ29" s="19"/>
      <c r="AR29" s="19">
        <v>0</v>
      </c>
      <c r="AS29" s="19">
        <f t="shared" si="17"/>
        <v>600</v>
      </c>
      <c r="AT29" s="19">
        <f t="shared" si="18"/>
        <v>600</v>
      </c>
      <c r="AU29" s="19"/>
      <c r="AV29" s="19">
        <v>0</v>
      </c>
      <c r="AW29" s="19">
        <f t="shared" si="19"/>
        <v>600</v>
      </c>
      <c r="AX29" s="19">
        <f t="shared" si="20"/>
        <v>600</v>
      </c>
      <c r="AY29" s="19"/>
      <c r="AZ29" s="19">
        <v>0</v>
      </c>
      <c r="BA29" s="19">
        <f t="shared" si="21"/>
        <v>600</v>
      </c>
      <c r="BB29" s="2">
        <f t="shared" si="22"/>
        <v>8100</v>
      </c>
      <c r="BC29" s="30">
        <f t="shared" si="23"/>
        <v>700</v>
      </c>
      <c r="BD29" s="30">
        <f t="shared" si="24"/>
        <v>600</v>
      </c>
      <c r="BE29" s="30">
        <f t="shared" si="25"/>
        <v>650</v>
      </c>
      <c r="BF29" s="2">
        <f t="shared" si="26"/>
        <v>0</v>
      </c>
      <c r="BG29" s="2">
        <f t="shared" si="27"/>
        <v>100</v>
      </c>
      <c r="BH29" s="2">
        <f t="shared" si="0"/>
        <v>8000</v>
      </c>
      <c r="BI29" s="2">
        <f t="shared" si="1"/>
        <v>8100</v>
      </c>
      <c r="BJ29" s="2">
        <f t="shared" si="28"/>
        <v>8.3333333333333339</v>
      </c>
      <c r="BK29" s="29"/>
      <c r="BM29" s="2">
        <v>500</v>
      </c>
      <c r="BN29" s="38">
        <f t="shared" si="29"/>
        <v>5</v>
      </c>
      <c r="BO29" s="35">
        <v>1</v>
      </c>
      <c r="BP29" s="35">
        <v>1</v>
      </c>
      <c r="BQ29" s="35">
        <v>1</v>
      </c>
      <c r="BR29" s="36">
        <f t="shared" si="30"/>
        <v>12.461538461538462</v>
      </c>
      <c r="BS29" s="36">
        <f t="shared" si="2"/>
        <v>971.99999999999989</v>
      </c>
      <c r="BU29" s="37">
        <f t="shared" si="31"/>
        <v>0</v>
      </c>
      <c r="BV29" s="35">
        <v>1</v>
      </c>
      <c r="BW29" s="35">
        <v>1</v>
      </c>
    </row>
    <row r="30" spans="1:75" ht="19" x14ac:dyDescent="0.2">
      <c r="A30" s="4">
        <v>27</v>
      </c>
      <c r="B30" s="5">
        <v>92000209</v>
      </c>
      <c r="C30" s="5" t="s">
        <v>33</v>
      </c>
      <c r="D30" s="7" t="s">
        <v>6</v>
      </c>
      <c r="E30" s="24">
        <v>102.92</v>
      </c>
      <c r="F30" s="11">
        <v>4020</v>
      </c>
      <c r="G30" s="19"/>
      <c r="H30" s="19">
        <v>950</v>
      </c>
      <c r="I30" s="19">
        <f t="shared" si="32"/>
        <v>3070</v>
      </c>
      <c r="J30" s="19">
        <f t="shared" si="33"/>
        <v>3070</v>
      </c>
      <c r="K30" s="19"/>
      <c r="L30" s="19">
        <v>1010</v>
      </c>
      <c r="M30" s="19">
        <f t="shared" si="34"/>
        <v>2060</v>
      </c>
      <c r="N30" s="19">
        <f t="shared" si="35"/>
        <v>2060</v>
      </c>
      <c r="O30" s="19"/>
      <c r="P30" s="19">
        <v>830</v>
      </c>
      <c r="Q30" s="19">
        <f t="shared" si="3"/>
        <v>1230</v>
      </c>
      <c r="R30" s="19">
        <f t="shared" si="4"/>
        <v>1230</v>
      </c>
      <c r="S30" s="19"/>
      <c r="T30" s="19">
        <v>780</v>
      </c>
      <c r="U30" s="19">
        <f t="shared" si="5"/>
        <v>450</v>
      </c>
      <c r="V30" s="19">
        <f t="shared" si="6"/>
        <v>450</v>
      </c>
      <c r="W30" s="19"/>
      <c r="X30" s="19">
        <v>70</v>
      </c>
      <c r="Y30" s="19">
        <f t="shared" si="7"/>
        <v>380</v>
      </c>
      <c r="Z30" s="19">
        <f t="shared" si="8"/>
        <v>380</v>
      </c>
      <c r="AA30" s="19">
        <v>6000</v>
      </c>
      <c r="AB30" s="19">
        <v>1560</v>
      </c>
      <c r="AC30" s="19">
        <f t="shared" si="9"/>
        <v>4820</v>
      </c>
      <c r="AD30" s="19">
        <f t="shared" si="10"/>
        <v>4820</v>
      </c>
      <c r="AE30" s="19"/>
      <c r="AF30" s="19">
        <v>1360</v>
      </c>
      <c r="AG30" s="19">
        <f t="shared" si="11"/>
        <v>3460</v>
      </c>
      <c r="AH30" s="19">
        <f t="shared" si="12"/>
        <v>3460</v>
      </c>
      <c r="AI30" s="19"/>
      <c r="AJ30" s="19">
        <v>1220</v>
      </c>
      <c r="AK30" s="19">
        <f t="shared" si="13"/>
        <v>2240</v>
      </c>
      <c r="AL30" s="19">
        <f t="shared" si="14"/>
        <v>2240</v>
      </c>
      <c r="AM30" s="19">
        <v>5000</v>
      </c>
      <c r="AN30" s="19">
        <v>910</v>
      </c>
      <c r="AO30" s="19">
        <f t="shared" si="15"/>
        <v>6330</v>
      </c>
      <c r="AP30" s="19">
        <f t="shared" si="16"/>
        <v>6330</v>
      </c>
      <c r="AQ30" s="19"/>
      <c r="AR30" s="19">
        <v>1850</v>
      </c>
      <c r="AS30" s="19">
        <f t="shared" si="17"/>
        <v>4480</v>
      </c>
      <c r="AT30" s="19">
        <f t="shared" si="18"/>
        <v>4480</v>
      </c>
      <c r="AU30" s="19"/>
      <c r="AV30" s="19">
        <v>1790</v>
      </c>
      <c r="AW30" s="19">
        <f t="shared" si="19"/>
        <v>2690</v>
      </c>
      <c r="AX30" s="19">
        <f t="shared" si="20"/>
        <v>2690</v>
      </c>
      <c r="AY30" s="19">
        <v>6000</v>
      </c>
      <c r="AZ30" s="19">
        <v>830</v>
      </c>
      <c r="BA30" s="19">
        <f t="shared" si="21"/>
        <v>7860</v>
      </c>
      <c r="BB30" s="2">
        <f t="shared" si="22"/>
        <v>35230</v>
      </c>
      <c r="BC30" s="30">
        <f t="shared" si="23"/>
        <v>4020</v>
      </c>
      <c r="BD30" s="30">
        <f t="shared" si="24"/>
        <v>7860</v>
      </c>
      <c r="BE30" s="30">
        <f t="shared" si="25"/>
        <v>5940</v>
      </c>
      <c r="BF30" s="2">
        <f t="shared" si="26"/>
        <v>17000</v>
      </c>
      <c r="BG30" s="2">
        <f t="shared" si="27"/>
        <v>13160</v>
      </c>
      <c r="BH30" s="2">
        <f t="shared" si="0"/>
        <v>39070</v>
      </c>
      <c r="BI30" s="2">
        <f t="shared" si="1"/>
        <v>52230</v>
      </c>
      <c r="BJ30" s="2">
        <f t="shared" si="28"/>
        <v>1096.6666666666667</v>
      </c>
      <c r="BK30" s="29"/>
      <c r="BM30" s="2">
        <v>2000</v>
      </c>
      <c r="BN30" s="38">
        <f t="shared" si="29"/>
        <v>0.1519756838905775</v>
      </c>
      <c r="BO30" s="35">
        <v>1</v>
      </c>
      <c r="BP30" s="35">
        <v>1</v>
      </c>
      <c r="BQ30" s="35">
        <v>1</v>
      </c>
      <c r="BR30" s="36">
        <f t="shared" si="30"/>
        <v>8.7929292929292924</v>
      </c>
      <c r="BS30" s="36">
        <f t="shared" si="2"/>
        <v>47.626139817629173</v>
      </c>
      <c r="BU30" s="37">
        <f t="shared" si="31"/>
        <v>0</v>
      </c>
      <c r="BV30" s="35">
        <v>1</v>
      </c>
      <c r="BW30" s="35">
        <v>1</v>
      </c>
    </row>
    <row r="31" spans="1:75" ht="19" x14ac:dyDescent="0.2">
      <c r="A31" s="4">
        <v>28</v>
      </c>
      <c r="B31" s="5">
        <v>92000535</v>
      </c>
      <c r="C31" s="5" t="s">
        <v>64</v>
      </c>
      <c r="D31" s="7" t="s">
        <v>6</v>
      </c>
      <c r="E31" s="23">
        <f>22945.92/100</f>
        <v>229.45919999999998</v>
      </c>
      <c r="F31" s="11">
        <v>15600</v>
      </c>
      <c r="G31" s="19"/>
      <c r="H31" s="19">
        <v>1900</v>
      </c>
      <c r="I31" s="19">
        <f t="shared" si="32"/>
        <v>13700</v>
      </c>
      <c r="J31" s="19">
        <f t="shared" si="33"/>
        <v>13700</v>
      </c>
      <c r="K31" s="19"/>
      <c r="L31" s="19">
        <v>1400</v>
      </c>
      <c r="M31" s="19">
        <f t="shared" si="34"/>
        <v>12300</v>
      </c>
      <c r="N31" s="19">
        <f t="shared" si="35"/>
        <v>12300</v>
      </c>
      <c r="O31" s="19"/>
      <c r="P31" s="19">
        <v>1200</v>
      </c>
      <c r="Q31" s="19">
        <f t="shared" si="3"/>
        <v>11100</v>
      </c>
      <c r="R31" s="19">
        <f t="shared" si="4"/>
        <v>11100</v>
      </c>
      <c r="S31" s="19"/>
      <c r="T31" s="19">
        <v>800</v>
      </c>
      <c r="U31" s="19">
        <f t="shared" si="5"/>
        <v>10300</v>
      </c>
      <c r="V31" s="19">
        <f t="shared" si="6"/>
        <v>10300</v>
      </c>
      <c r="W31" s="19"/>
      <c r="X31" s="19">
        <v>1100</v>
      </c>
      <c r="Y31" s="19">
        <f t="shared" si="7"/>
        <v>9200</v>
      </c>
      <c r="Z31" s="19">
        <f t="shared" si="8"/>
        <v>9200</v>
      </c>
      <c r="AA31" s="19">
        <v>10000</v>
      </c>
      <c r="AB31" s="19">
        <v>1100</v>
      </c>
      <c r="AC31" s="19">
        <f t="shared" si="9"/>
        <v>18100</v>
      </c>
      <c r="AD31" s="19">
        <f t="shared" si="10"/>
        <v>18100</v>
      </c>
      <c r="AE31" s="19"/>
      <c r="AF31" s="19">
        <v>1700</v>
      </c>
      <c r="AG31" s="19">
        <f t="shared" si="11"/>
        <v>16400</v>
      </c>
      <c r="AH31" s="19">
        <f t="shared" si="12"/>
        <v>16400</v>
      </c>
      <c r="AI31" s="19"/>
      <c r="AJ31" s="19">
        <v>2500</v>
      </c>
      <c r="AK31" s="19">
        <f t="shared" si="13"/>
        <v>13900</v>
      </c>
      <c r="AL31" s="19">
        <f t="shared" si="14"/>
        <v>13900</v>
      </c>
      <c r="AM31" s="19"/>
      <c r="AN31" s="19">
        <v>2200</v>
      </c>
      <c r="AO31" s="19">
        <f t="shared" si="15"/>
        <v>11700</v>
      </c>
      <c r="AP31" s="19">
        <f t="shared" si="16"/>
        <v>11700</v>
      </c>
      <c r="AQ31" s="19"/>
      <c r="AR31" s="19">
        <v>1800</v>
      </c>
      <c r="AS31" s="19">
        <f t="shared" si="17"/>
        <v>9900</v>
      </c>
      <c r="AT31" s="19">
        <f t="shared" si="18"/>
        <v>9900</v>
      </c>
      <c r="AU31" s="19"/>
      <c r="AV31" s="19">
        <v>1860</v>
      </c>
      <c r="AW31" s="19">
        <f t="shared" si="19"/>
        <v>8040</v>
      </c>
      <c r="AX31" s="19">
        <f t="shared" si="20"/>
        <v>8040</v>
      </c>
      <c r="AY31" s="19"/>
      <c r="AZ31" s="19">
        <v>1400</v>
      </c>
      <c r="BA31" s="19">
        <f t="shared" si="21"/>
        <v>6640</v>
      </c>
      <c r="BB31" s="2">
        <f t="shared" si="22"/>
        <v>150240</v>
      </c>
      <c r="BC31" s="30">
        <f t="shared" si="23"/>
        <v>15600</v>
      </c>
      <c r="BD31" s="30">
        <f t="shared" si="24"/>
        <v>6640</v>
      </c>
      <c r="BE31" s="30">
        <f t="shared" si="25"/>
        <v>11120</v>
      </c>
      <c r="BF31" s="2">
        <f t="shared" si="26"/>
        <v>10000</v>
      </c>
      <c r="BG31" s="2">
        <f t="shared" si="27"/>
        <v>18960</v>
      </c>
      <c r="BH31" s="2">
        <f t="shared" si="0"/>
        <v>141280</v>
      </c>
      <c r="BI31" s="2">
        <f t="shared" si="1"/>
        <v>160240</v>
      </c>
      <c r="BJ31" s="2">
        <f t="shared" si="28"/>
        <v>1580</v>
      </c>
      <c r="BK31" s="29"/>
      <c r="BM31" s="2">
        <v>10000</v>
      </c>
      <c r="BN31" s="38">
        <f t="shared" si="29"/>
        <v>0.52742616033755274</v>
      </c>
      <c r="BO31" s="35">
        <v>1</v>
      </c>
      <c r="BP31" s="35">
        <v>1</v>
      </c>
      <c r="BQ31" s="35">
        <v>1</v>
      </c>
      <c r="BR31" s="36">
        <f t="shared" si="30"/>
        <v>14.410071942446043</v>
      </c>
      <c r="BS31" s="36">
        <f t="shared" si="2"/>
        <v>101.41772151898734</v>
      </c>
      <c r="BU31" s="37">
        <f t="shared" si="31"/>
        <v>0</v>
      </c>
      <c r="BV31" s="35">
        <v>1</v>
      </c>
      <c r="BW31" s="35">
        <v>1</v>
      </c>
    </row>
    <row r="32" spans="1:75" ht="19" x14ac:dyDescent="0.2">
      <c r="A32" s="4">
        <v>29</v>
      </c>
      <c r="B32" s="5">
        <v>92000756</v>
      </c>
      <c r="C32" s="4" t="s">
        <v>34</v>
      </c>
      <c r="D32" s="6" t="s">
        <v>22</v>
      </c>
      <c r="E32" s="25">
        <v>1622.62</v>
      </c>
      <c r="F32" s="11">
        <v>100</v>
      </c>
      <c r="G32" s="19"/>
      <c r="H32" s="19"/>
      <c r="I32" s="19">
        <f t="shared" si="32"/>
        <v>100</v>
      </c>
      <c r="J32" s="19">
        <f t="shared" si="33"/>
        <v>100</v>
      </c>
      <c r="K32" s="19"/>
      <c r="L32" s="19"/>
      <c r="M32" s="19">
        <f t="shared" si="34"/>
        <v>100</v>
      </c>
      <c r="N32" s="19">
        <f t="shared" si="35"/>
        <v>100</v>
      </c>
      <c r="O32" s="19"/>
      <c r="P32" s="19">
        <v>0</v>
      </c>
      <c r="Q32" s="19">
        <f t="shared" si="3"/>
        <v>100</v>
      </c>
      <c r="R32" s="19">
        <f t="shared" si="4"/>
        <v>100</v>
      </c>
      <c r="S32" s="19"/>
      <c r="T32" s="19">
        <v>0</v>
      </c>
      <c r="U32" s="19">
        <f t="shared" si="5"/>
        <v>100</v>
      </c>
      <c r="V32" s="19">
        <f t="shared" si="6"/>
        <v>100</v>
      </c>
      <c r="W32" s="19"/>
      <c r="X32" s="19">
        <v>0</v>
      </c>
      <c r="Y32" s="19">
        <f t="shared" si="7"/>
        <v>100</v>
      </c>
      <c r="Z32" s="19">
        <f t="shared" si="8"/>
        <v>100</v>
      </c>
      <c r="AA32" s="19">
        <v>200</v>
      </c>
      <c r="AB32" s="19">
        <v>0</v>
      </c>
      <c r="AC32" s="19">
        <f t="shared" si="9"/>
        <v>300</v>
      </c>
      <c r="AD32" s="19">
        <f t="shared" si="10"/>
        <v>300</v>
      </c>
      <c r="AE32" s="19"/>
      <c r="AF32" s="19">
        <v>0</v>
      </c>
      <c r="AG32" s="19">
        <f t="shared" si="11"/>
        <v>300</v>
      </c>
      <c r="AH32" s="19">
        <f t="shared" si="12"/>
        <v>300</v>
      </c>
      <c r="AI32" s="19"/>
      <c r="AJ32" s="19">
        <v>100</v>
      </c>
      <c r="AK32" s="19">
        <f t="shared" si="13"/>
        <v>200</v>
      </c>
      <c r="AL32" s="19">
        <f t="shared" si="14"/>
        <v>200</v>
      </c>
      <c r="AM32" s="19"/>
      <c r="AN32" s="19">
        <v>0</v>
      </c>
      <c r="AO32" s="19">
        <f t="shared" si="15"/>
        <v>200</v>
      </c>
      <c r="AP32" s="19">
        <f t="shared" si="16"/>
        <v>200</v>
      </c>
      <c r="AQ32" s="19"/>
      <c r="AR32" s="19">
        <v>0</v>
      </c>
      <c r="AS32" s="19">
        <f t="shared" si="17"/>
        <v>200</v>
      </c>
      <c r="AT32" s="19">
        <f t="shared" si="18"/>
        <v>200</v>
      </c>
      <c r="AU32" s="19"/>
      <c r="AV32" s="19">
        <v>0</v>
      </c>
      <c r="AW32" s="19">
        <f t="shared" si="19"/>
        <v>200</v>
      </c>
      <c r="AX32" s="19">
        <f t="shared" si="20"/>
        <v>200</v>
      </c>
      <c r="AY32" s="19">
        <v>100</v>
      </c>
      <c r="AZ32" s="19">
        <v>0</v>
      </c>
      <c r="BA32" s="19">
        <f t="shared" si="21"/>
        <v>300</v>
      </c>
      <c r="BB32" s="2">
        <f t="shared" si="22"/>
        <v>2000</v>
      </c>
      <c r="BC32" s="30">
        <f t="shared" si="23"/>
        <v>100</v>
      </c>
      <c r="BD32" s="30">
        <f t="shared" si="24"/>
        <v>300</v>
      </c>
      <c r="BE32" s="30">
        <f t="shared" si="25"/>
        <v>200</v>
      </c>
      <c r="BF32" s="2">
        <f t="shared" si="26"/>
        <v>300</v>
      </c>
      <c r="BG32" s="2">
        <f t="shared" si="27"/>
        <v>100</v>
      </c>
      <c r="BH32" s="2">
        <f t="shared" si="0"/>
        <v>2200</v>
      </c>
      <c r="BI32" s="2">
        <f t="shared" si="1"/>
        <v>2300</v>
      </c>
      <c r="BJ32" s="2">
        <f t="shared" si="28"/>
        <v>8.3333333333333339</v>
      </c>
      <c r="BK32" s="29"/>
      <c r="BM32" s="2">
        <v>500</v>
      </c>
      <c r="BN32" s="38">
        <f t="shared" si="29"/>
        <v>5</v>
      </c>
      <c r="BO32" s="35">
        <v>1</v>
      </c>
      <c r="BP32" s="35">
        <v>1</v>
      </c>
      <c r="BQ32" s="35">
        <v>2</v>
      </c>
      <c r="BR32" s="36">
        <f t="shared" si="30"/>
        <v>11.5</v>
      </c>
      <c r="BS32" s="36">
        <f t="shared" ref="BS32:BS44" si="36">BI32/BJ32</f>
        <v>276</v>
      </c>
      <c r="BU32" s="37">
        <f t="shared" si="31"/>
        <v>0</v>
      </c>
      <c r="BV32" s="35">
        <v>1</v>
      </c>
      <c r="BW32" s="35">
        <v>1</v>
      </c>
    </row>
    <row r="33" spans="1:75" ht="19" x14ac:dyDescent="0.2">
      <c r="A33" s="4">
        <v>30</v>
      </c>
      <c r="B33" s="5">
        <v>92001960</v>
      </c>
      <c r="C33" s="4" t="s">
        <v>35</v>
      </c>
      <c r="D33" s="6" t="s">
        <v>36</v>
      </c>
      <c r="E33" s="24">
        <v>150.36000000000001</v>
      </c>
      <c r="F33" s="11">
        <v>3600</v>
      </c>
      <c r="G33" s="19"/>
      <c r="H33" s="19">
        <v>550</v>
      </c>
      <c r="I33" s="19">
        <f t="shared" si="32"/>
        <v>3050</v>
      </c>
      <c r="J33" s="19">
        <f t="shared" si="33"/>
        <v>3050</v>
      </c>
      <c r="K33" s="19"/>
      <c r="L33" s="19">
        <v>40</v>
      </c>
      <c r="M33" s="19">
        <f t="shared" si="34"/>
        <v>3010</v>
      </c>
      <c r="N33" s="19">
        <f t="shared" si="35"/>
        <v>3010</v>
      </c>
      <c r="O33" s="19"/>
      <c r="P33" s="19">
        <v>840</v>
      </c>
      <c r="Q33" s="19">
        <f t="shared" si="3"/>
        <v>2170</v>
      </c>
      <c r="R33" s="19">
        <f t="shared" si="4"/>
        <v>2170</v>
      </c>
      <c r="S33" s="19"/>
      <c r="T33" s="19">
        <v>410</v>
      </c>
      <c r="U33" s="19">
        <f t="shared" si="5"/>
        <v>1760</v>
      </c>
      <c r="V33" s="19">
        <f t="shared" si="6"/>
        <v>1760</v>
      </c>
      <c r="W33" s="19"/>
      <c r="X33" s="19">
        <v>190</v>
      </c>
      <c r="Y33" s="19">
        <f t="shared" si="7"/>
        <v>1570</v>
      </c>
      <c r="Z33" s="19">
        <f t="shared" si="8"/>
        <v>1570</v>
      </c>
      <c r="AA33" s="19">
        <v>3300</v>
      </c>
      <c r="AB33" s="19">
        <v>650</v>
      </c>
      <c r="AC33" s="19">
        <f t="shared" si="9"/>
        <v>4220</v>
      </c>
      <c r="AD33" s="19">
        <f t="shared" si="10"/>
        <v>4220</v>
      </c>
      <c r="AE33" s="19"/>
      <c r="AF33" s="19">
        <v>660</v>
      </c>
      <c r="AG33" s="19">
        <f t="shared" si="11"/>
        <v>3560</v>
      </c>
      <c r="AH33" s="19">
        <f t="shared" si="12"/>
        <v>3560</v>
      </c>
      <c r="AI33" s="19"/>
      <c r="AJ33" s="19">
        <v>710</v>
      </c>
      <c r="AK33" s="19">
        <f t="shared" si="13"/>
        <v>2850</v>
      </c>
      <c r="AL33" s="19">
        <f t="shared" si="14"/>
        <v>2850</v>
      </c>
      <c r="AM33" s="19">
        <v>5000</v>
      </c>
      <c r="AN33" s="19">
        <v>2850</v>
      </c>
      <c r="AO33" s="19">
        <f t="shared" si="15"/>
        <v>5000</v>
      </c>
      <c r="AP33" s="19">
        <f t="shared" si="16"/>
        <v>5000</v>
      </c>
      <c r="AQ33" s="19"/>
      <c r="AR33" s="19">
        <v>650</v>
      </c>
      <c r="AS33" s="19">
        <f t="shared" si="17"/>
        <v>4350</v>
      </c>
      <c r="AT33" s="19">
        <f t="shared" si="18"/>
        <v>4350</v>
      </c>
      <c r="AU33" s="19"/>
      <c r="AV33" s="19">
        <v>350</v>
      </c>
      <c r="AW33" s="19">
        <f t="shared" si="19"/>
        <v>4000</v>
      </c>
      <c r="AX33" s="19">
        <f t="shared" si="20"/>
        <v>4000</v>
      </c>
      <c r="AY33" s="19">
        <v>1000</v>
      </c>
      <c r="AZ33" s="19">
        <v>480</v>
      </c>
      <c r="BA33" s="19">
        <f t="shared" si="21"/>
        <v>4520</v>
      </c>
      <c r="BB33" s="2">
        <f t="shared" si="22"/>
        <v>39140</v>
      </c>
      <c r="BC33" s="30">
        <f t="shared" si="23"/>
        <v>3600</v>
      </c>
      <c r="BD33" s="30">
        <f t="shared" si="24"/>
        <v>4520</v>
      </c>
      <c r="BE33" s="30">
        <f t="shared" si="25"/>
        <v>4060</v>
      </c>
      <c r="BF33" s="2">
        <f t="shared" si="26"/>
        <v>9300</v>
      </c>
      <c r="BG33" s="2">
        <f t="shared" si="27"/>
        <v>8380</v>
      </c>
      <c r="BH33" s="2">
        <f t="shared" si="0"/>
        <v>40060</v>
      </c>
      <c r="BI33" s="2">
        <f t="shared" si="1"/>
        <v>48440</v>
      </c>
      <c r="BJ33" s="2">
        <f t="shared" si="28"/>
        <v>698.33333333333337</v>
      </c>
      <c r="BK33" s="29"/>
      <c r="BM33" s="2">
        <v>10000</v>
      </c>
      <c r="BN33" s="38">
        <f t="shared" si="29"/>
        <v>1.1933174224343674</v>
      </c>
      <c r="BO33" s="35">
        <v>1</v>
      </c>
      <c r="BP33" s="35">
        <v>1</v>
      </c>
      <c r="BQ33" s="35">
        <v>3</v>
      </c>
      <c r="BR33" s="36">
        <f t="shared" si="30"/>
        <v>11.931034482758621</v>
      </c>
      <c r="BS33" s="36">
        <f t="shared" si="36"/>
        <v>69.365155131264913</v>
      </c>
      <c r="BU33" s="37">
        <f t="shared" si="31"/>
        <v>0</v>
      </c>
      <c r="BV33" s="35">
        <v>1</v>
      </c>
      <c r="BW33" s="35">
        <v>1</v>
      </c>
    </row>
    <row r="34" spans="1:75" ht="19" x14ac:dyDescent="0.2">
      <c r="A34" s="4">
        <v>31</v>
      </c>
      <c r="B34" s="5">
        <v>92001267</v>
      </c>
      <c r="C34" s="4" t="s">
        <v>37</v>
      </c>
      <c r="D34" s="6" t="s">
        <v>6</v>
      </c>
      <c r="E34" s="24">
        <v>225.33</v>
      </c>
      <c r="F34" s="11">
        <v>21130</v>
      </c>
      <c r="G34" s="19"/>
      <c r="H34" s="19">
        <v>5400</v>
      </c>
      <c r="I34" s="19">
        <f t="shared" si="32"/>
        <v>15730</v>
      </c>
      <c r="J34" s="19">
        <f t="shared" si="33"/>
        <v>15730</v>
      </c>
      <c r="K34" s="19"/>
      <c r="L34" s="19">
        <v>5530</v>
      </c>
      <c r="M34" s="19">
        <f t="shared" si="34"/>
        <v>10200</v>
      </c>
      <c r="N34" s="19">
        <f t="shared" si="35"/>
        <v>10200</v>
      </c>
      <c r="O34" s="19">
        <v>30000</v>
      </c>
      <c r="P34" s="19">
        <v>5670</v>
      </c>
      <c r="Q34" s="19">
        <f t="shared" si="3"/>
        <v>34530</v>
      </c>
      <c r="R34" s="19">
        <f t="shared" si="4"/>
        <v>34530</v>
      </c>
      <c r="S34" s="19"/>
      <c r="T34" s="19">
        <v>2250</v>
      </c>
      <c r="U34" s="19">
        <f t="shared" si="5"/>
        <v>32280</v>
      </c>
      <c r="V34" s="19">
        <f t="shared" si="6"/>
        <v>32280</v>
      </c>
      <c r="W34" s="19"/>
      <c r="X34" s="19">
        <v>3490</v>
      </c>
      <c r="Y34" s="19">
        <f t="shared" si="7"/>
        <v>28790</v>
      </c>
      <c r="Z34" s="19">
        <f t="shared" si="8"/>
        <v>28790</v>
      </c>
      <c r="AA34" s="19">
        <v>10000</v>
      </c>
      <c r="AB34" s="19">
        <v>3090</v>
      </c>
      <c r="AC34" s="19">
        <f t="shared" si="9"/>
        <v>35700</v>
      </c>
      <c r="AD34" s="19">
        <f t="shared" si="10"/>
        <v>35700</v>
      </c>
      <c r="AE34" s="19"/>
      <c r="AF34" s="19">
        <v>3200</v>
      </c>
      <c r="AG34" s="19">
        <f t="shared" si="11"/>
        <v>32500</v>
      </c>
      <c r="AH34" s="19">
        <f t="shared" si="12"/>
        <v>32500</v>
      </c>
      <c r="AI34" s="19"/>
      <c r="AJ34" s="19">
        <v>4700</v>
      </c>
      <c r="AK34" s="19">
        <f t="shared" si="13"/>
        <v>27800</v>
      </c>
      <c r="AL34" s="19">
        <f t="shared" si="14"/>
        <v>27800</v>
      </c>
      <c r="AM34" s="19"/>
      <c r="AN34" s="19">
        <v>3300</v>
      </c>
      <c r="AO34" s="19">
        <f t="shared" si="15"/>
        <v>24500</v>
      </c>
      <c r="AP34" s="19">
        <f t="shared" si="16"/>
        <v>24500</v>
      </c>
      <c r="AQ34" s="19"/>
      <c r="AR34" s="19">
        <v>4540</v>
      </c>
      <c r="AS34" s="19">
        <f t="shared" si="17"/>
        <v>19960</v>
      </c>
      <c r="AT34" s="19">
        <f t="shared" si="18"/>
        <v>19960</v>
      </c>
      <c r="AU34" s="19"/>
      <c r="AV34" s="19">
        <v>4640</v>
      </c>
      <c r="AW34" s="19">
        <f t="shared" si="19"/>
        <v>15320</v>
      </c>
      <c r="AX34" s="19">
        <f t="shared" si="20"/>
        <v>15320</v>
      </c>
      <c r="AY34" s="19">
        <v>20000</v>
      </c>
      <c r="AZ34" s="19">
        <v>4060</v>
      </c>
      <c r="BA34" s="19">
        <f t="shared" si="21"/>
        <v>31260</v>
      </c>
      <c r="BB34" s="2">
        <f t="shared" si="22"/>
        <v>298440</v>
      </c>
      <c r="BC34" s="30">
        <f t="shared" si="23"/>
        <v>21130</v>
      </c>
      <c r="BD34" s="30">
        <f t="shared" si="24"/>
        <v>31260</v>
      </c>
      <c r="BE34" s="30">
        <f t="shared" si="25"/>
        <v>26195</v>
      </c>
      <c r="BF34" s="2">
        <f t="shared" si="26"/>
        <v>60000</v>
      </c>
      <c r="BG34" s="2">
        <f t="shared" si="27"/>
        <v>49870</v>
      </c>
      <c r="BH34" s="2">
        <f t="shared" si="0"/>
        <v>308570</v>
      </c>
      <c r="BI34" s="2">
        <f t="shared" si="1"/>
        <v>358440</v>
      </c>
      <c r="BJ34" s="2">
        <f t="shared" si="28"/>
        <v>4155.833333333333</v>
      </c>
      <c r="BK34" s="29"/>
      <c r="BM34" s="2">
        <v>12000</v>
      </c>
      <c r="BN34" s="38">
        <f t="shared" si="29"/>
        <v>0.24062562662923601</v>
      </c>
      <c r="BO34" s="35">
        <v>1</v>
      </c>
      <c r="BP34" s="35">
        <v>1</v>
      </c>
      <c r="BQ34" s="35">
        <v>4</v>
      </c>
      <c r="BR34" s="36">
        <f t="shared" si="30"/>
        <v>13.68352739072342</v>
      </c>
      <c r="BS34" s="36">
        <f t="shared" si="36"/>
        <v>86.249849608983368</v>
      </c>
      <c r="BU34" s="37">
        <f t="shared" si="31"/>
        <v>0</v>
      </c>
      <c r="BV34" s="35">
        <v>1</v>
      </c>
      <c r="BW34" s="35">
        <v>1</v>
      </c>
    </row>
    <row r="35" spans="1:75" ht="19" x14ac:dyDescent="0.2">
      <c r="A35" s="4">
        <v>32</v>
      </c>
      <c r="B35" s="5">
        <v>92001885</v>
      </c>
      <c r="C35" s="5" t="s">
        <v>38</v>
      </c>
      <c r="D35" s="7" t="s">
        <v>39</v>
      </c>
      <c r="E35" s="23">
        <f>11578.41/100</f>
        <v>115.7841</v>
      </c>
      <c r="F35" s="11">
        <v>7400</v>
      </c>
      <c r="G35" s="19"/>
      <c r="H35" s="19"/>
      <c r="I35" s="19">
        <f t="shared" si="32"/>
        <v>7400</v>
      </c>
      <c r="J35" s="19">
        <f t="shared" si="33"/>
        <v>7400</v>
      </c>
      <c r="K35" s="19"/>
      <c r="L35" s="19">
        <v>0</v>
      </c>
      <c r="M35" s="19">
        <f t="shared" si="34"/>
        <v>7400</v>
      </c>
      <c r="N35" s="19">
        <f t="shared" si="35"/>
        <v>7400</v>
      </c>
      <c r="O35" s="19"/>
      <c r="P35" s="19">
        <v>0</v>
      </c>
      <c r="Q35" s="19">
        <f t="shared" si="3"/>
        <v>7400</v>
      </c>
      <c r="R35" s="19">
        <f t="shared" si="4"/>
        <v>7400</v>
      </c>
      <c r="S35" s="19"/>
      <c r="T35" s="19">
        <v>0</v>
      </c>
      <c r="U35" s="19">
        <f t="shared" si="5"/>
        <v>7400</v>
      </c>
      <c r="V35" s="19">
        <f t="shared" si="6"/>
        <v>7400</v>
      </c>
      <c r="W35" s="19"/>
      <c r="X35" s="19">
        <v>0</v>
      </c>
      <c r="Y35" s="19">
        <f t="shared" si="7"/>
        <v>7400</v>
      </c>
      <c r="Z35" s="19">
        <f t="shared" si="8"/>
        <v>7400</v>
      </c>
      <c r="AA35" s="19"/>
      <c r="AB35" s="19">
        <v>0</v>
      </c>
      <c r="AC35" s="19">
        <f t="shared" si="9"/>
        <v>7400</v>
      </c>
      <c r="AD35" s="19">
        <f t="shared" si="10"/>
        <v>7400</v>
      </c>
      <c r="AE35" s="19"/>
      <c r="AF35" s="19">
        <v>0</v>
      </c>
      <c r="AG35" s="19">
        <f t="shared" si="11"/>
        <v>7400</v>
      </c>
      <c r="AH35" s="19">
        <f t="shared" si="12"/>
        <v>7400</v>
      </c>
      <c r="AI35" s="19"/>
      <c r="AJ35" s="19">
        <v>500</v>
      </c>
      <c r="AK35" s="19">
        <f t="shared" si="13"/>
        <v>6900</v>
      </c>
      <c r="AL35" s="19">
        <f t="shared" si="14"/>
        <v>6900</v>
      </c>
      <c r="AM35" s="19"/>
      <c r="AN35" s="19">
        <v>300</v>
      </c>
      <c r="AO35" s="19">
        <f t="shared" si="15"/>
        <v>6600</v>
      </c>
      <c r="AP35" s="19">
        <f t="shared" si="16"/>
        <v>6600</v>
      </c>
      <c r="AQ35" s="19">
        <v>5000</v>
      </c>
      <c r="AR35" s="19">
        <v>1100</v>
      </c>
      <c r="AS35" s="19">
        <f t="shared" si="17"/>
        <v>10500</v>
      </c>
      <c r="AT35" s="19">
        <f t="shared" si="18"/>
        <v>10500</v>
      </c>
      <c r="AU35" s="19"/>
      <c r="AV35" s="19">
        <v>700</v>
      </c>
      <c r="AW35" s="19">
        <f t="shared" si="19"/>
        <v>9800</v>
      </c>
      <c r="AX35" s="19">
        <f t="shared" si="20"/>
        <v>9800</v>
      </c>
      <c r="AY35" s="19"/>
      <c r="AZ35" s="19">
        <v>700</v>
      </c>
      <c r="BA35" s="19">
        <f t="shared" si="21"/>
        <v>9100</v>
      </c>
      <c r="BB35" s="2">
        <f t="shared" si="22"/>
        <v>93000</v>
      </c>
      <c r="BC35" s="30">
        <f t="shared" si="23"/>
        <v>7400</v>
      </c>
      <c r="BD35" s="30">
        <f t="shared" si="24"/>
        <v>9100</v>
      </c>
      <c r="BE35" s="30">
        <f t="shared" si="25"/>
        <v>8250</v>
      </c>
      <c r="BF35" s="2">
        <f t="shared" si="26"/>
        <v>5000</v>
      </c>
      <c r="BG35" s="2">
        <f t="shared" si="27"/>
        <v>3300</v>
      </c>
      <c r="BH35" s="2">
        <f t="shared" si="0"/>
        <v>94700</v>
      </c>
      <c r="BI35" s="2">
        <f t="shared" si="1"/>
        <v>98000</v>
      </c>
      <c r="BJ35" s="2">
        <f t="shared" si="28"/>
        <v>275</v>
      </c>
      <c r="BK35" s="29"/>
      <c r="BM35" s="2">
        <v>5000</v>
      </c>
      <c r="BN35" s="38">
        <f t="shared" si="29"/>
        <v>1.5151515151515151</v>
      </c>
      <c r="BO35" s="35">
        <v>1</v>
      </c>
      <c r="BP35" s="35">
        <v>1</v>
      </c>
      <c r="BQ35" s="35">
        <v>5</v>
      </c>
      <c r="BR35" s="36">
        <f t="shared" si="30"/>
        <v>11.878787878787879</v>
      </c>
      <c r="BS35" s="36">
        <f t="shared" si="36"/>
        <v>356.36363636363637</v>
      </c>
      <c r="BU35" s="37">
        <f t="shared" si="31"/>
        <v>0</v>
      </c>
      <c r="BV35" s="35">
        <v>1</v>
      </c>
      <c r="BW35" s="35">
        <v>1</v>
      </c>
    </row>
    <row r="36" spans="1:75" ht="19" x14ac:dyDescent="0.2">
      <c r="A36" s="4">
        <v>33</v>
      </c>
      <c r="B36" s="5">
        <v>92000347</v>
      </c>
      <c r="C36" s="4" t="s">
        <v>40</v>
      </c>
      <c r="D36" s="6" t="s">
        <v>6</v>
      </c>
      <c r="E36" s="24">
        <v>375</v>
      </c>
      <c r="F36" s="11"/>
      <c r="G36" s="19"/>
      <c r="H36" s="19"/>
      <c r="I36" s="19"/>
      <c r="J36" s="19">
        <f t="shared" si="33"/>
        <v>0</v>
      </c>
      <c r="K36" s="19">
        <v>100</v>
      </c>
      <c r="L36" s="19">
        <v>0</v>
      </c>
      <c r="M36" s="19">
        <f t="shared" si="34"/>
        <v>100</v>
      </c>
      <c r="N36" s="19">
        <f t="shared" si="35"/>
        <v>100</v>
      </c>
      <c r="O36" s="19"/>
      <c r="P36" s="19">
        <v>0</v>
      </c>
      <c r="Q36" s="19">
        <f t="shared" si="3"/>
        <v>100</v>
      </c>
      <c r="R36" s="19">
        <f t="shared" si="4"/>
        <v>100</v>
      </c>
      <c r="S36" s="19"/>
      <c r="T36" s="19">
        <v>0</v>
      </c>
      <c r="U36" s="19">
        <f t="shared" si="5"/>
        <v>100</v>
      </c>
      <c r="V36" s="19">
        <f t="shared" si="6"/>
        <v>100</v>
      </c>
      <c r="W36" s="19"/>
      <c r="X36" s="19">
        <v>0</v>
      </c>
      <c r="Y36" s="19">
        <f t="shared" si="7"/>
        <v>100</v>
      </c>
      <c r="Z36" s="19">
        <f t="shared" si="8"/>
        <v>100</v>
      </c>
      <c r="AA36" s="19"/>
      <c r="AB36" s="19">
        <v>0</v>
      </c>
      <c r="AC36" s="19">
        <f t="shared" si="9"/>
        <v>100</v>
      </c>
      <c r="AD36" s="19">
        <f t="shared" si="10"/>
        <v>100</v>
      </c>
      <c r="AE36" s="19"/>
      <c r="AF36" s="19">
        <v>0</v>
      </c>
      <c r="AG36" s="19">
        <f t="shared" si="11"/>
        <v>100</v>
      </c>
      <c r="AH36" s="19">
        <f t="shared" si="12"/>
        <v>100</v>
      </c>
      <c r="AI36" s="19"/>
      <c r="AJ36" s="19">
        <v>0</v>
      </c>
      <c r="AK36" s="19">
        <f t="shared" si="13"/>
        <v>100</v>
      </c>
      <c r="AL36" s="19">
        <f t="shared" si="14"/>
        <v>100</v>
      </c>
      <c r="AM36" s="19"/>
      <c r="AN36" s="19">
        <v>0</v>
      </c>
      <c r="AO36" s="19">
        <f t="shared" si="15"/>
        <v>100</v>
      </c>
      <c r="AP36" s="19">
        <f t="shared" si="16"/>
        <v>100</v>
      </c>
      <c r="AQ36" s="19"/>
      <c r="AR36" s="19">
        <v>0</v>
      </c>
      <c r="AS36" s="19">
        <f t="shared" si="17"/>
        <v>100</v>
      </c>
      <c r="AT36" s="19">
        <f t="shared" si="18"/>
        <v>100</v>
      </c>
      <c r="AU36" s="19"/>
      <c r="AV36" s="19">
        <v>0</v>
      </c>
      <c r="AW36" s="19">
        <f t="shared" si="19"/>
        <v>100</v>
      </c>
      <c r="AX36" s="19">
        <f t="shared" si="20"/>
        <v>100</v>
      </c>
      <c r="AY36" s="19"/>
      <c r="AZ36" s="19">
        <v>0</v>
      </c>
      <c r="BA36" s="19">
        <f t="shared" si="21"/>
        <v>100</v>
      </c>
      <c r="BB36" s="2">
        <f t="shared" si="22"/>
        <v>1000</v>
      </c>
      <c r="BC36" s="30">
        <v>100</v>
      </c>
      <c r="BD36" s="30">
        <f t="shared" si="24"/>
        <v>200</v>
      </c>
      <c r="BE36" s="30">
        <f t="shared" si="25"/>
        <v>150</v>
      </c>
      <c r="BF36" s="2">
        <f t="shared" si="26"/>
        <v>100</v>
      </c>
      <c r="BG36" s="2">
        <f t="shared" si="27"/>
        <v>0</v>
      </c>
      <c r="BH36" s="2">
        <f t="shared" si="0"/>
        <v>1100</v>
      </c>
      <c r="BI36" s="2">
        <f t="shared" si="1"/>
        <v>1100</v>
      </c>
      <c r="BJ36" s="2">
        <f t="shared" si="28"/>
        <v>0</v>
      </c>
      <c r="BK36" s="29"/>
      <c r="BM36" s="2">
        <v>0</v>
      </c>
      <c r="BN36" s="38" t="e">
        <f t="shared" si="29"/>
        <v>#DIV/0!</v>
      </c>
      <c r="BO36" s="35">
        <v>1</v>
      </c>
      <c r="BP36" s="35">
        <v>1</v>
      </c>
      <c r="BQ36" s="35">
        <v>6</v>
      </c>
      <c r="BR36" s="36">
        <f t="shared" si="30"/>
        <v>7.333333333333333</v>
      </c>
      <c r="BS36" s="36" t="e">
        <f>BI36/BJ36</f>
        <v>#DIV/0!</v>
      </c>
      <c r="BU36" s="37">
        <f t="shared" si="31"/>
        <v>0</v>
      </c>
      <c r="BV36" s="35">
        <v>1</v>
      </c>
      <c r="BW36" s="35">
        <v>1</v>
      </c>
    </row>
    <row r="37" spans="1:75" ht="19" x14ac:dyDescent="0.2">
      <c r="A37" s="4">
        <v>34</v>
      </c>
      <c r="B37" s="5">
        <v>92003720</v>
      </c>
      <c r="C37" s="5" t="s">
        <v>41</v>
      </c>
      <c r="D37" s="7" t="s">
        <v>6</v>
      </c>
      <c r="E37" s="24">
        <v>160</v>
      </c>
      <c r="F37" s="11">
        <v>1900</v>
      </c>
      <c r="G37" s="19"/>
      <c r="H37" s="19"/>
      <c r="I37" s="19">
        <f t="shared" ref="I37" si="37">F37+G37-H37</f>
        <v>1900</v>
      </c>
      <c r="J37" s="19">
        <f t="shared" si="33"/>
        <v>1900</v>
      </c>
      <c r="K37" s="19"/>
      <c r="L37" s="19">
        <v>100</v>
      </c>
      <c r="M37" s="19">
        <f t="shared" si="34"/>
        <v>1800</v>
      </c>
      <c r="N37" s="19">
        <f t="shared" si="35"/>
        <v>1800</v>
      </c>
      <c r="O37" s="19"/>
      <c r="P37" s="19">
        <v>0</v>
      </c>
      <c r="Q37" s="19">
        <f t="shared" si="3"/>
        <v>1800</v>
      </c>
      <c r="R37" s="19">
        <f t="shared" si="4"/>
        <v>1800</v>
      </c>
      <c r="S37" s="19"/>
      <c r="T37" s="19">
        <v>0</v>
      </c>
      <c r="U37" s="19">
        <f t="shared" si="5"/>
        <v>1800</v>
      </c>
      <c r="V37" s="19">
        <f t="shared" si="6"/>
        <v>1800</v>
      </c>
      <c r="W37" s="19"/>
      <c r="X37" s="19">
        <v>1800</v>
      </c>
      <c r="Y37" s="19">
        <f t="shared" si="7"/>
        <v>0</v>
      </c>
      <c r="Z37" s="19">
        <f t="shared" si="8"/>
        <v>0</v>
      </c>
      <c r="AA37" s="19">
        <v>2000</v>
      </c>
      <c r="AB37" s="19">
        <v>310</v>
      </c>
      <c r="AC37" s="19">
        <f t="shared" si="9"/>
        <v>1690</v>
      </c>
      <c r="AD37" s="19">
        <f t="shared" si="10"/>
        <v>1690</v>
      </c>
      <c r="AE37" s="19"/>
      <c r="AF37" s="19">
        <v>230</v>
      </c>
      <c r="AG37" s="19">
        <f t="shared" si="11"/>
        <v>1460</v>
      </c>
      <c r="AH37" s="19">
        <f t="shared" si="12"/>
        <v>1460</v>
      </c>
      <c r="AI37" s="19"/>
      <c r="AJ37" s="19">
        <v>500</v>
      </c>
      <c r="AK37" s="19">
        <f t="shared" si="13"/>
        <v>960</v>
      </c>
      <c r="AL37" s="19">
        <f t="shared" si="14"/>
        <v>960</v>
      </c>
      <c r="AM37" s="19">
        <v>3000</v>
      </c>
      <c r="AN37" s="19">
        <v>130</v>
      </c>
      <c r="AO37" s="19">
        <f t="shared" si="15"/>
        <v>3830</v>
      </c>
      <c r="AP37" s="19">
        <f t="shared" si="16"/>
        <v>3830</v>
      </c>
      <c r="AQ37" s="19"/>
      <c r="AR37" s="19">
        <v>130</v>
      </c>
      <c r="AS37" s="19">
        <f t="shared" si="17"/>
        <v>3700</v>
      </c>
      <c r="AT37" s="19">
        <f t="shared" si="18"/>
        <v>3700</v>
      </c>
      <c r="AU37" s="19"/>
      <c r="AV37" s="19">
        <v>310</v>
      </c>
      <c r="AW37" s="19">
        <f t="shared" si="19"/>
        <v>3390</v>
      </c>
      <c r="AX37" s="19">
        <f t="shared" si="20"/>
        <v>3390</v>
      </c>
      <c r="AY37" s="19"/>
      <c r="AZ37" s="19">
        <v>260</v>
      </c>
      <c r="BA37" s="19">
        <f t="shared" si="21"/>
        <v>3130</v>
      </c>
      <c r="BB37" s="2">
        <f t="shared" si="22"/>
        <v>24230</v>
      </c>
      <c r="BC37" s="30">
        <f t="shared" si="23"/>
        <v>1900</v>
      </c>
      <c r="BD37" s="30">
        <f t="shared" si="24"/>
        <v>3130</v>
      </c>
      <c r="BE37" s="30">
        <f t="shared" si="25"/>
        <v>2515</v>
      </c>
      <c r="BF37" s="2">
        <f t="shared" si="26"/>
        <v>5000</v>
      </c>
      <c r="BG37" s="2">
        <f t="shared" si="27"/>
        <v>3770</v>
      </c>
      <c r="BH37" s="2">
        <f t="shared" si="0"/>
        <v>25460</v>
      </c>
      <c r="BI37" s="2">
        <f t="shared" si="1"/>
        <v>29230</v>
      </c>
      <c r="BJ37" s="2">
        <f t="shared" si="28"/>
        <v>314.16666666666669</v>
      </c>
      <c r="BK37" s="29"/>
      <c r="BM37" s="2">
        <v>5000</v>
      </c>
      <c r="BN37" s="38">
        <f t="shared" si="29"/>
        <v>1.3262599469496021</v>
      </c>
      <c r="BO37" s="35">
        <v>1</v>
      </c>
      <c r="BP37" s="35">
        <v>1</v>
      </c>
      <c r="BQ37" s="35">
        <v>7</v>
      </c>
      <c r="BR37" s="36">
        <f t="shared" si="30"/>
        <v>11.622266401590457</v>
      </c>
      <c r="BS37" s="36">
        <f t="shared" si="36"/>
        <v>93.039787798408483</v>
      </c>
      <c r="BU37" s="37">
        <f t="shared" si="31"/>
        <v>0</v>
      </c>
      <c r="BV37" s="35">
        <v>1</v>
      </c>
      <c r="BW37" s="35">
        <v>1</v>
      </c>
    </row>
    <row r="38" spans="1:75" ht="19" x14ac:dyDescent="0.2">
      <c r="A38" s="4">
        <v>35</v>
      </c>
      <c r="B38" s="5">
        <v>92000809</v>
      </c>
      <c r="C38" s="5" t="s">
        <v>65</v>
      </c>
      <c r="D38" s="7" t="s">
        <v>36</v>
      </c>
      <c r="E38" s="23">
        <v>624</v>
      </c>
      <c r="F38" s="11"/>
      <c r="G38" s="19"/>
      <c r="H38" s="19"/>
      <c r="I38" s="19"/>
      <c r="J38" s="19">
        <f t="shared" si="33"/>
        <v>0</v>
      </c>
      <c r="K38" s="19"/>
      <c r="L38" s="19">
        <v>0</v>
      </c>
      <c r="M38" s="19">
        <f t="shared" si="34"/>
        <v>0</v>
      </c>
      <c r="N38" s="19">
        <f t="shared" si="35"/>
        <v>0</v>
      </c>
      <c r="O38" s="19"/>
      <c r="P38" s="19"/>
      <c r="Q38" s="19">
        <f t="shared" si="3"/>
        <v>0</v>
      </c>
      <c r="R38" s="19">
        <f t="shared" si="4"/>
        <v>0</v>
      </c>
      <c r="S38" s="19"/>
      <c r="T38" s="19"/>
      <c r="U38" s="19">
        <f t="shared" si="5"/>
        <v>0</v>
      </c>
      <c r="V38" s="19">
        <f t="shared" si="6"/>
        <v>0</v>
      </c>
      <c r="W38" s="19"/>
      <c r="X38" s="19">
        <v>0</v>
      </c>
      <c r="Y38" s="19">
        <f t="shared" si="7"/>
        <v>0</v>
      </c>
      <c r="Z38" s="19">
        <f t="shared" si="8"/>
        <v>0</v>
      </c>
      <c r="AA38" s="19">
        <v>200</v>
      </c>
      <c r="AB38" s="19"/>
      <c r="AC38" s="19">
        <f t="shared" si="9"/>
        <v>200</v>
      </c>
      <c r="AD38" s="19">
        <f t="shared" si="10"/>
        <v>200</v>
      </c>
      <c r="AE38" s="19">
        <v>1500</v>
      </c>
      <c r="AF38" s="19">
        <v>1500</v>
      </c>
      <c r="AG38" s="19">
        <f t="shared" si="11"/>
        <v>200</v>
      </c>
      <c r="AH38" s="19">
        <f t="shared" si="12"/>
        <v>200</v>
      </c>
      <c r="AI38" s="19"/>
      <c r="AJ38" s="19">
        <v>0</v>
      </c>
      <c r="AK38" s="19">
        <f t="shared" si="13"/>
        <v>200</v>
      </c>
      <c r="AL38" s="19">
        <f t="shared" si="14"/>
        <v>200</v>
      </c>
      <c r="AM38" s="19"/>
      <c r="AN38" s="19">
        <v>102</v>
      </c>
      <c r="AO38" s="19">
        <f t="shared" si="15"/>
        <v>98</v>
      </c>
      <c r="AP38" s="19">
        <f t="shared" si="16"/>
        <v>98</v>
      </c>
      <c r="AQ38" s="19"/>
      <c r="AR38" s="19">
        <v>17</v>
      </c>
      <c r="AS38" s="19">
        <f t="shared" si="17"/>
        <v>81</v>
      </c>
      <c r="AT38" s="19">
        <f t="shared" si="18"/>
        <v>81</v>
      </c>
      <c r="AU38" s="19"/>
      <c r="AV38" s="19">
        <v>2</v>
      </c>
      <c r="AW38" s="19">
        <f t="shared" si="19"/>
        <v>79</v>
      </c>
      <c r="AX38" s="19">
        <f t="shared" si="20"/>
        <v>79</v>
      </c>
      <c r="AY38" s="19">
        <v>100</v>
      </c>
      <c r="AZ38" s="19">
        <v>79</v>
      </c>
      <c r="BA38" s="19">
        <f t="shared" si="21"/>
        <v>100</v>
      </c>
      <c r="BB38" s="2">
        <f t="shared" si="22"/>
        <v>858</v>
      </c>
      <c r="BC38" s="30">
        <v>200</v>
      </c>
      <c r="BD38" s="30">
        <f t="shared" si="24"/>
        <v>300</v>
      </c>
      <c r="BE38" s="30">
        <f t="shared" si="25"/>
        <v>250</v>
      </c>
      <c r="BF38" s="2">
        <f t="shared" si="26"/>
        <v>1800</v>
      </c>
      <c r="BG38" s="2">
        <f t="shared" si="27"/>
        <v>1700</v>
      </c>
      <c r="BH38" s="2">
        <f t="shared" si="0"/>
        <v>958</v>
      </c>
      <c r="BI38" s="2">
        <f t="shared" si="1"/>
        <v>2658</v>
      </c>
      <c r="BJ38" s="2">
        <f t="shared" si="28"/>
        <v>141.66666666666666</v>
      </c>
      <c r="BK38" s="29"/>
      <c r="BM38" s="2">
        <v>0</v>
      </c>
      <c r="BN38" s="38">
        <f t="shared" si="29"/>
        <v>0</v>
      </c>
      <c r="BO38" s="35">
        <v>1</v>
      </c>
      <c r="BP38" s="35">
        <v>1</v>
      </c>
      <c r="BQ38" s="35">
        <v>8</v>
      </c>
      <c r="BR38" s="36">
        <f t="shared" si="30"/>
        <v>10.632</v>
      </c>
      <c r="BS38" s="36">
        <f t="shared" si="36"/>
        <v>18.762352941176474</v>
      </c>
      <c r="BU38" s="37">
        <f t="shared" si="31"/>
        <v>0</v>
      </c>
      <c r="BV38" s="35">
        <v>1</v>
      </c>
      <c r="BW38" s="35">
        <v>1</v>
      </c>
    </row>
    <row r="39" spans="1:75" ht="19" x14ac:dyDescent="0.2">
      <c r="A39" s="4">
        <v>36</v>
      </c>
      <c r="B39" s="5"/>
      <c r="C39" s="5" t="s">
        <v>42</v>
      </c>
      <c r="D39" s="7" t="s">
        <v>36</v>
      </c>
      <c r="E39" s="23">
        <v>552</v>
      </c>
      <c r="F39" s="11"/>
      <c r="G39" s="19"/>
      <c r="H39" s="19"/>
      <c r="I39" s="19"/>
      <c r="J39" s="19"/>
      <c r="K39" s="19"/>
      <c r="L39" s="19">
        <v>0</v>
      </c>
      <c r="M39" s="19">
        <f t="shared" si="34"/>
        <v>0</v>
      </c>
      <c r="N39" s="19"/>
      <c r="O39" s="19"/>
      <c r="P39" s="19"/>
      <c r="Q39" s="19">
        <f t="shared" si="3"/>
        <v>0</v>
      </c>
      <c r="R39" s="19">
        <f t="shared" si="4"/>
        <v>0</v>
      </c>
      <c r="S39" s="19"/>
      <c r="T39" s="19"/>
      <c r="U39" s="19">
        <f t="shared" si="5"/>
        <v>0</v>
      </c>
      <c r="V39" s="19">
        <f t="shared" si="6"/>
        <v>0</v>
      </c>
      <c r="W39" s="19"/>
      <c r="X39" s="19">
        <v>0</v>
      </c>
      <c r="Y39" s="19">
        <f t="shared" si="7"/>
        <v>0</v>
      </c>
      <c r="Z39" s="19">
        <f t="shared" si="8"/>
        <v>0</v>
      </c>
      <c r="AA39" s="19">
        <v>200</v>
      </c>
      <c r="AB39" s="19"/>
      <c r="AC39" s="19">
        <f t="shared" si="9"/>
        <v>200</v>
      </c>
      <c r="AD39" s="19">
        <f t="shared" si="10"/>
        <v>200</v>
      </c>
      <c r="AE39" s="19">
        <v>200</v>
      </c>
      <c r="AF39" s="19">
        <v>200</v>
      </c>
      <c r="AG39" s="19">
        <f t="shared" si="11"/>
        <v>200</v>
      </c>
      <c r="AH39" s="19">
        <f t="shared" si="12"/>
        <v>200</v>
      </c>
      <c r="AI39" s="19"/>
      <c r="AJ39" s="19">
        <v>200</v>
      </c>
      <c r="AK39" s="19">
        <f t="shared" si="13"/>
        <v>0</v>
      </c>
      <c r="AL39" s="19">
        <f t="shared" si="14"/>
        <v>0</v>
      </c>
      <c r="AM39" s="19"/>
      <c r="AN39" s="19">
        <v>0</v>
      </c>
      <c r="AO39" s="19">
        <f t="shared" si="15"/>
        <v>0</v>
      </c>
      <c r="AP39" s="19">
        <f t="shared" si="16"/>
        <v>0</v>
      </c>
      <c r="AQ39" s="19"/>
      <c r="AR39" s="19">
        <v>0</v>
      </c>
      <c r="AS39" s="19">
        <f t="shared" si="17"/>
        <v>0</v>
      </c>
      <c r="AT39" s="19">
        <f t="shared" si="18"/>
        <v>0</v>
      </c>
      <c r="AU39" s="19"/>
      <c r="AV39" s="19">
        <v>0</v>
      </c>
      <c r="AW39" s="19">
        <f t="shared" si="19"/>
        <v>0</v>
      </c>
      <c r="AX39" s="19">
        <f t="shared" si="20"/>
        <v>0</v>
      </c>
      <c r="AY39" s="19">
        <v>200</v>
      </c>
      <c r="AZ39" s="19">
        <v>0</v>
      </c>
      <c r="BA39" s="19">
        <f t="shared" si="21"/>
        <v>200</v>
      </c>
      <c r="BB39" s="2">
        <f t="shared" si="22"/>
        <v>400</v>
      </c>
      <c r="BC39" s="30">
        <v>200</v>
      </c>
      <c r="BD39" s="30">
        <f t="shared" si="24"/>
        <v>400</v>
      </c>
      <c r="BE39" s="30">
        <f t="shared" si="25"/>
        <v>300</v>
      </c>
      <c r="BF39" s="2">
        <f t="shared" si="26"/>
        <v>600</v>
      </c>
      <c r="BG39" s="2">
        <f t="shared" si="27"/>
        <v>400</v>
      </c>
      <c r="BH39" s="2">
        <f t="shared" si="0"/>
        <v>600</v>
      </c>
      <c r="BI39" s="2">
        <f t="shared" si="1"/>
        <v>1000</v>
      </c>
      <c r="BJ39" s="2">
        <f t="shared" si="28"/>
        <v>33.333333333333336</v>
      </c>
      <c r="BK39" s="29"/>
      <c r="BM39" s="2">
        <v>0</v>
      </c>
      <c r="BN39" s="38">
        <f t="shared" si="29"/>
        <v>0</v>
      </c>
      <c r="BO39" s="35">
        <v>1</v>
      </c>
      <c r="BP39" s="35">
        <v>1</v>
      </c>
      <c r="BQ39" s="35">
        <v>9</v>
      </c>
      <c r="BR39" s="36">
        <f t="shared" si="30"/>
        <v>3.3333333333333335</v>
      </c>
      <c r="BS39" s="36">
        <f t="shared" si="36"/>
        <v>29.999999999999996</v>
      </c>
      <c r="BU39" s="37">
        <f t="shared" si="31"/>
        <v>0</v>
      </c>
      <c r="BV39" s="35">
        <v>1</v>
      </c>
      <c r="BW39" s="35">
        <v>1</v>
      </c>
    </row>
    <row r="40" spans="1:75" ht="19" x14ac:dyDescent="0.2">
      <c r="A40" s="4">
        <v>37</v>
      </c>
      <c r="B40" s="5">
        <v>92000860</v>
      </c>
      <c r="C40" s="4" t="s">
        <v>43</v>
      </c>
      <c r="D40" s="6" t="s">
        <v>6</v>
      </c>
      <c r="E40" s="23">
        <f>18712/100</f>
        <v>187.12</v>
      </c>
      <c r="F40" s="11">
        <v>3600</v>
      </c>
      <c r="G40" s="19"/>
      <c r="H40" s="19">
        <v>100</v>
      </c>
      <c r="I40" s="19">
        <f t="shared" ref="I40" si="38">F40+G40-H40</f>
        <v>3500</v>
      </c>
      <c r="J40" s="19">
        <f t="shared" si="33"/>
        <v>3500</v>
      </c>
      <c r="K40" s="19"/>
      <c r="L40" s="19">
        <v>200</v>
      </c>
      <c r="M40" s="19">
        <f t="shared" si="34"/>
        <v>3300</v>
      </c>
      <c r="N40" s="19">
        <f t="shared" si="35"/>
        <v>3300</v>
      </c>
      <c r="O40" s="19"/>
      <c r="P40" s="19">
        <v>200</v>
      </c>
      <c r="Q40" s="19">
        <f t="shared" si="3"/>
        <v>3100</v>
      </c>
      <c r="R40" s="19">
        <f t="shared" si="4"/>
        <v>3100</v>
      </c>
      <c r="S40" s="19"/>
      <c r="T40" s="19">
        <v>200</v>
      </c>
      <c r="U40" s="19">
        <f t="shared" si="5"/>
        <v>2900</v>
      </c>
      <c r="V40" s="19">
        <f t="shared" si="6"/>
        <v>2900</v>
      </c>
      <c r="W40" s="19"/>
      <c r="X40" s="19">
        <v>200</v>
      </c>
      <c r="Y40" s="19">
        <f t="shared" si="7"/>
        <v>2700</v>
      </c>
      <c r="Z40" s="19">
        <f t="shared" si="8"/>
        <v>2700</v>
      </c>
      <c r="AA40" s="19"/>
      <c r="AB40" s="19">
        <v>200</v>
      </c>
      <c r="AC40" s="19">
        <f t="shared" si="9"/>
        <v>2500</v>
      </c>
      <c r="AD40" s="19">
        <f t="shared" si="10"/>
        <v>2500</v>
      </c>
      <c r="AE40" s="19"/>
      <c r="AF40" s="19">
        <v>300</v>
      </c>
      <c r="AG40" s="19">
        <f t="shared" si="11"/>
        <v>2200</v>
      </c>
      <c r="AH40" s="19">
        <f t="shared" si="12"/>
        <v>2200</v>
      </c>
      <c r="AI40" s="19"/>
      <c r="AJ40" s="19">
        <v>300</v>
      </c>
      <c r="AK40" s="19">
        <f t="shared" si="13"/>
        <v>1900</v>
      </c>
      <c r="AL40" s="19">
        <f t="shared" si="14"/>
        <v>1900</v>
      </c>
      <c r="AM40" s="19"/>
      <c r="AN40" s="19">
        <v>100</v>
      </c>
      <c r="AO40" s="19">
        <f t="shared" si="15"/>
        <v>1800</v>
      </c>
      <c r="AP40" s="19">
        <f t="shared" si="16"/>
        <v>1800</v>
      </c>
      <c r="AQ40" s="19">
        <v>4000</v>
      </c>
      <c r="AR40" s="19">
        <v>300</v>
      </c>
      <c r="AS40" s="19">
        <f t="shared" si="17"/>
        <v>5500</v>
      </c>
      <c r="AT40" s="19">
        <f t="shared" si="18"/>
        <v>5500</v>
      </c>
      <c r="AU40" s="19"/>
      <c r="AV40" s="19">
        <v>200</v>
      </c>
      <c r="AW40" s="19">
        <f t="shared" si="19"/>
        <v>5300</v>
      </c>
      <c r="AX40" s="19">
        <f t="shared" si="20"/>
        <v>5300</v>
      </c>
      <c r="AY40" s="19"/>
      <c r="AZ40" s="19">
        <v>200</v>
      </c>
      <c r="BA40" s="19">
        <f t="shared" si="21"/>
        <v>5100</v>
      </c>
      <c r="BB40" s="2">
        <f t="shared" si="22"/>
        <v>38300</v>
      </c>
      <c r="BC40" s="30">
        <f t="shared" si="23"/>
        <v>3600</v>
      </c>
      <c r="BD40" s="30">
        <f t="shared" si="24"/>
        <v>5100</v>
      </c>
      <c r="BE40" s="30">
        <f t="shared" si="25"/>
        <v>4350</v>
      </c>
      <c r="BF40" s="2">
        <f t="shared" si="26"/>
        <v>4000</v>
      </c>
      <c r="BG40" s="2">
        <f t="shared" si="27"/>
        <v>2500</v>
      </c>
      <c r="BH40" s="2">
        <f t="shared" si="0"/>
        <v>39800</v>
      </c>
      <c r="BI40" s="2">
        <f t="shared" si="1"/>
        <v>42300</v>
      </c>
      <c r="BJ40" s="2">
        <f t="shared" si="28"/>
        <v>208.33333333333334</v>
      </c>
      <c r="BK40" s="29"/>
      <c r="BM40" s="2">
        <v>5000</v>
      </c>
      <c r="BN40" s="38">
        <f>BM40/BG40</f>
        <v>2</v>
      </c>
      <c r="BO40" s="35">
        <v>1</v>
      </c>
      <c r="BP40" s="35">
        <v>1</v>
      </c>
      <c r="BQ40" s="35">
        <v>10</v>
      </c>
      <c r="BR40" s="36">
        <f t="shared" si="30"/>
        <v>9.7241379310344822</v>
      </c>
      <c r="BS40" s="36">
        <f t="shared" si="36"/>
        <v>203.04</v>
      </c>
      <c r="BU40" s="37">
        <f t="shared" si="31"/>
        <v>0</v>
      </c>
      <c r="BV40" s="35">
        <v>1</v>
      </c>
      <c r="BW40" s="35">
        <v>1</v>
      </c>
    </row>
    <row r="41" spans="1:75" ht="19" x14ac:dyDescent="0.2">
      <c r="A41" s="4">
        <v>38</v>
      </c>
      <c r="B41" s="5"/>
      <c r="C41" s="4" t="s">
        <v>68</v>
      </c>
      <c r="D41" s="6" t="s">
        <v>66</v>
      </c>
      <c r="E41" s="20"/>
      <c r="F41" s="21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>
        <f t="shared" si="3"/>
        <v>0</v>
      </c>
      <c r="R41" s="19">
        <f t="shared" si="4"/>
        <v>0</v>
      </c>
      <c r="S41" s="19"/>
      <c r="T41" s="19"/>
      <c r="U41" s="19">
        <f t="shared" si="5"/>
        <v>0</v>
      </c>
      <c r="V41" s="19">
        <f t="shared" si="6"/>
        <v>0</v>
      </c>
      <c r="W41" s="19"/>
      <c r="X41" s="19">
        <v>0</v>
      </c>
      <c r="Y41" s="19">
        <f t="shared" si="7"/>
        <v>0</v>
      </c>
      <c r="Z41" s="19">
        <f t="shared" si="8"/>
        <v>0</v>
      </c>
      <c r="AA41" s="19"/>
      <c r="AB41" s="19">
        <v>0</v>
      </c>
      <c r="AC41" s="19">
        <f t="shared" si="9"/>
        <v>0</v>
      </c>
      <c r="AD41" s="19">
        <f t="shared" si="10"/>
        <v>0</v>
      </c>
      <c r="AE41" s="19"/>
      <c r="AF41" s="19">
        <v>0</v>
      </c>
      <c r="AG41" s="19">
        <f t="shared" si="11"/>
        <v>0</v>
      </c>
      <c r="AH41" s="19">
        <f t="shared" si="12"/>
        <v>0</v>
      </c>
      <c r="AI41" s="19"/>
      <c r="AJ41" s="19"/>
      <c r="AK41" s="19">
        <f t="shared" si="13"/>
        <v>0</v>
      </c>
      <c r="AL41" s="19">
        <f t="shared" si="14"/>
        <v>0</v>
      </c>
      <c r="AM41" s="19"/>
      <c r="AN41" s="19">
        <v>0</v>
      </c>
      <c r="AO41" s="19">
        <f t="shared" si="15"/>
        <v>0</v>
      </c>
      <c r="AP41" s="19">
        <f t="shared" si="16"/>
        <v>0</v>
      </c>
      <c r="AQ41" s="19">
        <v>25</v>
      </c>
      <c r="AR41" s="19"/>
      <c r="AS41" s="19">
        <f t="shared" si="17"/>
        <v>25</v>
      </c>
      <c r="AT41" s="19">
        <f t="shared" si="18"/>
        <v>25</v>
      </c>
      <c r="AU41" s="19"/>
      <c r="AV41" s="19">
        <v>0</v>
      </c>
      <c r="AW41" s="19">
        <f t="shared" si="19"/>
        <v>25</v>
      </c>
      <c r="AX41" s="19">
        <f t="shared" si="20"/>
        <v>25</v>
      </c>
      <c r="AY41" s="19"/>
      <c r="AZ41" s="19">
        <v>0</v>
      </c>
      <c r="BA41" s="19">
        <f t="shared" si="21"/>
        <v>25</v>
      </c>
      <c r="BB41" s="2">
        <f t="shared" si="22"/>
        <v>50</v>
      </c>
      <c r="BC41" s="30">
        <v>25</v>
      </c>
      <c r="BD41" s="30">
        <f t="shared" si="24"/>
        <v>50</v>
      </c>
      <c r="BE41" s="30">
        <f t="shared" si="25"/>
        <v>37.5</v>
      </c>
      <c r="BF41" s="2">
        <f t="shared" si="26"/>
        <v>25</v>
      </c>
      <c r="BG41" s="2">
        <f t="shared" si="27"/>
        <v>0</v>
      </c>
      <c r="BH41" s="2">
        <f t="shared" si="0"/>
        <v>75</v>
      </c>
      <c r="BI41" s="2">
        <f t="shared" si="1"/>
        <v>75</v>
      </c>
      <c r="BJ41" s="2">
        <f t="shared" si="28"/>
        <v>0</v>
      </c>
      <c r="BK41" s="29"/>
      <c r="BM41" s="2">
        <v>200</v>
      </c>
      <c r="BN41" s="38" t="e">
        <f t="shared" si="29"/>
        <v>#DIV/0!</v>
      </c>
      <c r="BO41" s="35">
        <v>1</v>
      </c>
      <c r="BP41" s="35">
        <v>1</v>
      </c>
      <c r="BQ41" s="35">
        <v>11</v>
      </c>
      <c r="BR41" s="36">
        <f t="shared" si="30"/>
        <v>2</v>
      </c>
      <c r="BS41" s="36" t="e">
        <f t="shared" si="36"/>
        <v>#DIV/0!</v>
      </c>
      <c r="BU41" s="37">
        <f t="shared" si="31"/>
        <v>0</v>
      </c>
      <c r="BV41" s="35">
        <v>1</v>
      </c>
      <c r="BW41" s="35">
        <v>1</v>
      </c>
    </row>
    <row r="42" spans="1:75" ht="19" x14ac:dyDescent="0.2">
      <c r="A42" s="4">
        <v>39</v>
      </c>
      <c r="B42" s="5">
        <v>92000731</v>
      </c>
      <c r="C42" s="4" t="s">
        <v>67</v>
      </c>
      <c r="D42" s="6" t="s">
        <v>16</v>
      </c>
      <c r="E42" s="18">
        <v>3505.38</v>
      </c>
      <c r="F42" s="11">
        <f>54+275</f>
        <v>329</v>
      </c>
      <c r="G42" s="19"/>
      <c r="H42" s="19">
        <f>54+59</f>
        <v>113</v>
      </c>
      <c r="I42" s="19">
        <f t="shared" si="32"/>
        <v>216</v>
      </c>
      <c r="J42" s="19">
        <f t="shared" si="33"/>
        <v>216</v>
      </c>
      <c r="K42" s="19"/>
      <c r="L42" s="19">
        <v>102</v>
      </c>
      <c r="M42" s="19">
        <f t="shared" si="34"/>
        <v>114</v>
      </c>
      <c r="N42" s="19">
        <f t="shared" si="35"/>
        <v>114</v>
      </c>
      <c r="O42" s="19"/>
      <c r="P42" s="19">
        <v>94</v>
      </c>
      <c r="Q42" s="19">
        <f t="shared" si="3"/>
        <v>20</v>
      </c>
      <c r="R42" s="19">
        <f t="shared" si="4"/>
        <v>20</v>
      </c>
      <c r="S42" s="19"/>
      <c r="T42" s="19">
        <v>20</v>
      </c>
      <c r="U42" s="19">
        <f t="shared" si="5"/>
        <v>0</v>
      </c>
      <c r="V42" s="19">
        <f t="shared" si="6"/>
        <v>0</v>
      </c>
      <c r="W42" s="19"/>
      <c r="X42" s="19">
        <v>0</v>
      </c>
      <c r="Y42" s="19">
        <f t="shared" si="7"/>
        <v>0</v>
      </c>
      <c r="Z42" s="19">
        <f t="shared" si="8"/>
        <v>0</v>
      </c>
      <c r="AA42" s="19">
        <v>504</v>
      </c>
      <c r="AB42" s="19">
        <v>63</v>
      </c>
      <c r="AC42" s="19">
        <f t="shared" si="9"/>
        <v>441</v>
      </c>
      <c r="AD42" s="19">
        <f t="shared" si="10"/>
        <v>441</v>
      </c>
      <c r="AE42" s="19"/>
      <c r="AF42" s="19">
        <v>48</v>
      </c>
      <c r="AG42" s="19">
        <f t="shared" si="11"/>
        <v>393</v>
      </c>
      <c r="AH42" s="19">
        <f t="shared" si="12"/>
        <v>393</v>
      </c>
      <c r="AI42" s="19">
        <v>500</v>
      </c>
      <c r="AJ42" s="19">
        <v>64</v>
      </c>
      <c r="AK42" s="19">
        <f t="shared" si="13"/>
        <v>829</v>
      </c>
      <c r="AL42" s="19">
        <f t="shared" si="14"/>
        <v>829</v>
      </c>
      <c r="AM42" s="19"/>
      <c r="AN42" s="19">
        <v>57</v>
      </c>
      <c r="AO42" s="19">
        <f t="shared" si="15"/>
        <v>772</v>
      </c>
      <c r="AP42" s="19">
        <f t="shared" si="16"/>
        <v>772</v>
      </c>
      <c r="AQ42" s="19"/>
      <c r="AR42" s="19">
        <v>65</v>
      </c>
      <c r="AS42" s="19">
        <f t="shared" si="17"/>
        <v>707</v>
      </c>
      <c r="AT42" s="19">
        <f t="shared" si="18"/>
        <v>707</v>
      </c>
      <c r="AU42" s="19"/>
      <c r="AV42" s="19">
        <v>80</v>
      </c>
      <c r="AW42" s="19">
        <f t="shared" si="19"/>
        <v>627</v>
      </c>
      <c r="AX42" s="19">
        <f t="shared" si="20"/>
        <v>627</v>
      </c>
      <c r="AY42" s="19"/>
      <c r="AZ42" s="19">
        <v>86</v>
      </c>
      <c r="BA42" s="19">
        <f t="shared" si="21"/>
        <v>541</v>
      </c>
      <c r="BB42" s="2">
        <f t="shared" si="22"/>
        <v>4448</v>
      </c>
      <c r="BC42" s="30">
        <f t="shared" si="23"/>
        <v>329</v>
      </c>
      <c r="BD42" s="30">
        <f t="shared" si="24"/>
        <v>541</v>
      </c>
      <c r="BE42" s="30">
        <f t="shared" si="25"/>
        <v>435</v>
      </c>
      <c r="BF42" s="2">
        <f t="shared" si="26"/>
        <v>1004</v>
      </c>
      <c r="BG42" s="2">
        <f t="shared" si="27"/>
        <v>792</v>
      </c>
      <c r="BH42" s="2">
        <f t="shared" si="0"/>
        <v>4660</v>
      </c>
      <c r="BI42" s="2">
        <f t="shared" si="1"/>
        <v>5452</v>
      </c>
      <c r="BJ42" s="2">
        <f t="shared" si="28"/>
        <v>66</v>
      </c>
      <c r="BK42" s="29"/>
      <c r="BM42" s="2">
        <v>0</v>
      </c>
      <c r="BN42" s="38">
        <f t="shared" si="29"/>
        <v>0</v>
      </c>
      <c r="BO42" s="35">
        <v>1</v>
      </c>
      <c r="BP42" s="35">
        <v>1</v>
      </c>
      <c r="BQ42" s="35">
        <v>12</v>
      </c>
      <c r="BR42" s="36">
        <f t="shared" si="30"/>
        <v>12.533333333333333</v>
      </c>
      <c r="BS42" s="36">
        <f t="shared" si="36"/>
        <v>82.606060606060609</v>
      </c>
      <c r="BU42" s="37">
        <f t="shared" si="31"/>
        <v>0</v>
      </c>
      <c r="BV42" s="35">
        <v>1</v>
      </c>
      <c r="BW42" s="35">
        <v>1</v>
      </c>
    </row>
    <row r="43" spans="1:75" ht="19" x14ac:dyDescent="0.2">
      <c r="A43" s="4">
        <v>40</v>
      </c>
      <c r="B43" s="5"/>
      <c r="C43" s="4" t="s">
        <v>63</v>
      </c>
      <c r="D43" s="6" t="s">
        <v>6</v>
      </c>
      <c r="E43" s="20">
        <f>28572.51/100</f>
        <v>285.7251</v>
      </c>
      <c r="F43" s="11">
        <v>5300</v>
      </c>
      <c r="G43" s="19"/>
      <c r="H43" s="19">
        <v>600</v>
      </c>
      <c r="I43" s="19">
        <f t="shared" si="32"/>
        <v>4700</v>
      </c>
      <c r="J43" s="19">
        <f t="shared" si="33"/>
        <v>4700</v>
      </c>
      <c r="K43" s="19"/>
      <c r="L43" s="19">
        <v>600</v>
      </c>
      <c r="M43" s="19">
        <f t="shared" si="34"/>
        <v>4100</v>
      </c>
      <c r="N43" s="19">
        <f t="shared" si="35"/>
        <v>4100</v>
      </c>
      <c r="O43" s="19"/>
      <c r="P43" s="19">
        <v>500</v>
      </c>
      <c r="Q43" s="19">
        <f t="shared" si="3"/>
        <v>3600</v>
      </c>
      <c r="R43" s="19">
        <f t="shared" si="4"/>
        <v>3600</v>
      </c>
      <c r="S43" s="19"/>
      <c r="T43" s="19">
        <v>600</v>
      </c>
      <c r="U43" s="19">
        <f t="shared" si="5"/>
        <v>3000</v>
      </c>
      <c r="V43" s="19">
        <f t="shared" si="6"/>
        <v>3000</v>
      </c>
      <c r="W43" s="19"/>
      <c r="X43" s="19">
        <v>400</v>
      </c>
      <c r="Y43" s="19">
        <f t="shared" si="7"/>
        <v>2600</v>
      </c>
      <c r="Z43" s="19">
        <f t="shared" si="8"/>
        <v>2600</v>
      </c>
      <c r="AA43" s="19"/>
      <c r="AB43" s="19">
        <v>800</v>
      </c>
      <c r="AC43" s="19">
        <f t="shared" si="9"/>
        <v>1800</v>
      </c>
      <c r="AD43" s="19">
        <f t="shared" si="10"/>
        <v>1800</v>
      </c>
      <c r="AE43" s="19"/>
      <c r="AF43" s="19">
        <v>700</v>
      </c>
      <c r="AG43" s="19">
        <f t="shared" si="11"/>
        <v>1100</v>
      </c>
      <c r="AH43" s="19">
        <f t="shared" si="12"/>
        <v>1100</v>
      </c>
      <c r="AI43" s="19"/>
      <c r="AJ43" s="19">
        <v>1100</v>
      </c>
      <c r="AK43" s="19">
        <f t="shared" si="13"/>
        <v>0</v>
      </c>
      <c r="AL43" s="19">
        <f t="shared" si="14"/>
        <v>0</v>
      </c>
      <c r="AM43" s="19"/>
      <c r="AN43" s="19"/>
      <c r="AO43" s="19">
        <f t="shared" si="15"/>
        <v>0</v>
      </c>
      <c r="AP43" s="19">
        <f t="shared" si="16"/>
        <v>0</v>
      </c>
      <c r="AQ43" s="19"/>
      <c r="AR43" s="19">
        <v>0</v>
      </c>
      <c r="AS43" s="19">
        <f t="shared" si="17"/>
        <v>0</v>
      </c>
      <c r="AT43" s="19">
        <f t="shared" si="18"/>
        <v>0</v>
      </c>
      <c r="AU43" s="19"/>
      <c r="AV43" s="19">
        <v>0</v>
      </c>
      <c r="AW43" s="19">
        <f t="shared" si="19"/>
        <v>0</v>
      </c>
      <c r="AX43" s="19">
        <f t="shared" si="20"/>
        <v>0</v>
      </c>
      <c r="AY43" s="19"/>
      <c r="AZ43" s="19">
        <v>0</v>
      </c>
      <c r="BA43" s="19">
        <f t="shared" si="21"/>
        <v>0</v>
      </c>
      <c r="BB43" s="2">
        <f t="shared" si="22"/>
        <v>26200</v>
      </c>
      <c r="BC43" s="30">
        <f t="shared" si="23"/>
        <v>5300</v>
      </c>
      <c r="BD43" s="30">
        <f t="shared" si="24"/>
        <v>0</v>
      </c>
      <c r="BE43" s="30">
        <f t="shared" si="25"/>
        <v>2650</v>
      </c>
      <c r="BF43" s="2">
        <f t="shared" si="26"/>
        <v>0</v>
      </c>
      <c r="BG43" s="2">
        <f t="shared" si="27"/>
        <v>5300</v>
      </c>
      <c r="BH43" s="2">
        <f t="shared" si="0"/>
        <v>20900</v>
      </c>
      <c r="BI43" s="2">
        <f t="shared" si="1"/>
        <v>26200</v>
      </c>
      <c r="BJ43" s="2">
        <f t="shared" si="28"/>
        <v>441.66666666666669</v>
      </c>
      <c r="BK43" s="29"/>
      <c r="BM43" s="2">
        <v>5000</v>
      </c>
      <c r="BN43" s="38">
        <f t="shared" si="29"/>
        <v>0.94339622641509435</v>
      </c>
      <c r="BO43" s="35">
        <v>1</v>
      </c>
      <c r="BP43" s="35">
        <v>1</v>
      </c>
      <c r="BQ43" s="35">
        <v>13</v>
      </c>
      <c r="BR43" s="36">
        <f t="shared" si="30"/>
        <v>9.8867924528301891</v>
      </c>
      <c r="BS43" s="36">
        <f t="shared" si="36"/>
        <v>59.320754716981128</v>
      </c>
      <c r="BU43" s="37">
        <f t="shared" si="31"/>
        <v>0</v>
      </c>
      <c r="BV43" s="35">
        <v>1</v>
      </c>
      <c r="BW43" s="35">
        <v>1</v>
      </c>
    </row>
    <row r="44" spans="1:75" ht="23" customHeight="1" x14ac:dyDescent="0.2">
      <c r="A44" s="4">
        <v>41</v>
      </c>
      <c r="B44" s="5">
        <v>92000201</v>
      </c>
      <c r="C44" s="5" t="s">
        <v>44</v>
      </c>
      <c r="D44" s="7" t="s">
        <v>6</v>
      </c>
      <c r="E44" s="18">
        <f>33300/100</f>
        <v>333</v>
      </c>
      <c r="F44" s="10">
        <v>3900</v>
      </c>
      <c r="G44" s="19"/>
      <c r="H44" s="19">
        <v>1500</v>
      </c>
      <c r="I44" s="19">
        <f t="shared" si="32"/>
        <v>2400</v>
      </c>
      <c r="J44" s="19">
        <f t="shared" si="33"/>
        <v>2400</v>
      </c>
      <c r="K44" s="19"/>
      <c r="L44" s="19">
        <v>900</v>
      </c>
      <c r="M44" s="19">
        <f t="shared" si="34"/>
        <v>1500</v>
      </c>
      <c r="N44" s="19">
        <f t="shared" si="35"/>
        <v>1500</v>
      </c>
      <c r="O44" s="19"/>
      <c r="P44" s="19">
        <v>500</v>
      </c>
      <c r="Q44" s="19">
        <f t="shared" si="3"/>
        <v>1000</v>
      </c>
      <c r="R44" s="19">
        <f t="shared" si="4"/>
        <v>1000</v>
      </c>
      <c r="S44" s="19"/>
      <c r="T44" s="19">
        <v>200</v>
      </c>
      <c r="U44" s="19">
        <f t="shared" si="5"/>
        <v>800</v>
      </c>
      <c r="V44" s="19">
        <f t="shared" si="6"/>
        <v>800</v>
      </c>
      <c r="W44" s="19"/>
      <c r="X44" s="19">
        <v>400</v>
      </c>
      <c r="Y44" s="19">
        <f t="shared" si="7"/>
        <v>400</v>
      </c>
      <c r="Z44" s="19">
        <f t="shared" si="8"/>
        <v>400</v>
      </c>
      <c r="AA44" s="19"/>
      <c r="AB44" s="19">
        <v>100</v>
      </c>
      <c r="AC44" s="19">
        <f t="shared" si="9"/>
        <v>300</v>
      </c>
      <c r="AD44" s="19">
        <f t="shared" si="10"/>
        <v>300</v>
      </c>
      <c r="AE44" s="19"/>
      <c r="AF44" s="19">
        <v>100</v>
      </c>
      <c r="AG44" s="19">
        <f t="shared" si="11"/>
        <v>200</v>
      </c>
      <c r="AH44" s="19">
        <f t="shared" si="12"/>
        <v>200</v>
      </c>
      <c r="AI44" s="19">
        <v>5000</v>
      </c>
      <c r="AJ44" s="19">
        <v>200</v>
      </c>
      <c r="AK44" s="19">
        <f t="shared" si="13"/>
        <v>5000</v>
      </c>
      <c r="AL44" s="19">
        <f t="shared" si="14"/>
        <v>5000</v>
      </c>
      <c r="AM44" s="19"/>
      <c r="AN44" s="19">
        <v>330</v>
      </c>
      <c r="AO44" s="19">
        <f t="shared" si="15"/>
        <v>4670</v>
      </c>
      <c r="AP44" s="19">
        <f t="shared" si="16"/>
        <v>4670</v>
      </c>
      <c r="AQ44" s="19"/>
      <c r="AR44" s="19">
        <v>0</v>
      </c>
      <c r="AS44" s="19">
        <f t="shared" si="17"/>
        <v>4670</v>
      </c>
      <c r="AT44" s="19">
        <f t="shared" si="18"/>
        <v>4670</v>
      </c>
      <c r="AU44" s="19"/>
      <c r="AV44" s="19">
        <v>600</v>
      </c>
      <c r="AW44" s="19">
        <f t="shared" si="19"/>
        <v>4070</v>
      </c>
      <c r="AX44" s="19">
        <f t="shared" si="20"/>
        <v>4070</v>
      </c>
      <c r="AY44" s="19"/>
      <c r="AZ44" s="19">
        <v>190</v>
      </c>
      <c r="BA44" s="19">
        <f t="shared" si="21"/>
        <v>3880</v>
      </c>
      <c r="BB44" s="2">
        <f t="shared" si="22"/>
        <v>28910</v>
      </c>
      <c r="BC44" s="30">
        <f t="shared" si="23"/>
        <v>3900</v>
      </c>
      <c r="BD44" s="30">
        <f t="shared" si="24"/>
        <v>3880</v>
      </c>
      <c r="BE44" s="30">
        <f t="shared" si="25"/>
        <v>3890</v>
      </c>
      <c r="BF44" s="2">
        <f t="shared" si="26"/>
        <v>5000</v>
      </c>
      <c r="BG44" s="2">
        <f t="shared" si="27"/>
        <v>5020</v>
      </c>
      <c r="BH44" s="2">
        <f t="shared" si="0"/>
        <v>28890</v>
      </c>
      <c r="BI44" s="2">
        <f t="shared" si="1"/>
        <v>33910</v>
      </c>
      <c r="BJ44" s="2">
        <f t="shared" si="28"/>
        <v>418.33333333333331</v>
      </c>
      <c r="BK44" s="29"/>
      <c r="BM44" s="2">
        <v>10000</v>
      </c>
      <c r="BN44" s="38">
        <f t="shared" si="29"/>
        <v>1.9920318725099602</v>
      </c>
      <c r="BO44" s="35">
        <v>1</v>
      </c>
      <c r="BP44" s="35">
        <v>1</v>
      </c>
      <c r="BQ44" s="35">
        <v>14</v>
      </c>
      <c r="BR44" s="36">
        <f t="shared" si="30"/>
        <v>8.7172236503856038</v>
      </c>
      <c r="BS44" s="36">
        <f t="shared" si="36"/>
        <v>81.059760956175296</v>
      </c>
      <c r="BU44" s="37">
        <f t="shared" si="31"/>
        <v>0</v>
      </c>
      <c r="BV44" s="35">
        <v>1</v>
      </c>
      <c r="BW44" s="35">
        <v>1</v>
      </c>
    </row>
  </sheetData>
  <mergeCells count="18">
    <mergeCell ref="AH2:AK2"/>
    <mergeCell ref="AL2:AO2"/>
    <mergeCell ref="AP2:AS2"/>
    <mergeCell ref="AT2:AW2"/>
    <mergeCell ref="AX2:BA2"/>
    <mergeCell ref="AD2:AG2"/>
    <mergeCell ref="A1:C1"/>
    <mergeCell ref="F2:I2"/>
    <mergeCell ref="A2:A3"/>
    <mergeCell ref="B2:B3"/>
    <mergeCell ref="C2:C3"/>
    <mergeCell ref="D2:D3"/>
    <mergeCell ref="E2:E3"/>
    <mergeCell ref="J2:M2"/>
    <mergeCell ref="N2:Q2"/>
    <mergeCell ref="R2:U2"/>
    <mergeCell ref="V2:Y2"/>
    <mergeCell ref="Z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Naibonat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 Winda Lutsina</dc:creator>
  <cp:lastModifiedBy>nowvie88@gmail.com</cp:lastModifiedBy>
  <dcterms:created xsi:type="dcterms:W3CDTF">2026-05-06T09:51:00Z</dcterms:created>
  <dcterms:modified xsi:type="dcterms:W3CDTF">2026-08-09T00:21:45Z</dcterms:modified>
</cp:coreProperties>
</file>