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</sheets>
  <definedNames>
    <definedName name="_xlnm._FilterDatabase" localSheetId="0" hidden="1">'Data'!$A$1:$R$1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<sst xmlns="http://schemas.openxmlformats.org/spreadsheetml/2006/main" uniqueCount="86">
  <si>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kode_obat</t>
  </si>
  <si>
    <t>nama_obat</t>
  </si>
  <si>
    <t>satuan</t>
  </si>
  <si>
    <t>harga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</si>
  <si>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</si>
  <si>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</si>
  <si>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</si>
  <si>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</si>
  <si>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</si>
  <si>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</si>
  <si>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</si>
  <si>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</si>
  <si>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</si>
  <si>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</si>
  <si>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</si>
  <si>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</si>
  <si>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stok_akhir</t>
  </si>
  <si>
    <t>keterangan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</si>
  <si>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</si>
  <si>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</si>
  <si>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</si>
  <si>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</si>
  <si>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</si>
  <si>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</si>
  <si>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</si>
  <si>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</si>
  <si>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</si>
  <si>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</si>
  <si>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</si>
  <si>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</si>
  <si>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</si>
  <si>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</si>
  <si>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</si>
  <si>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</si>
  <si>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</si>
  <si>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</si>
  <si>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Fitomenadion Injeksi</t>
  </si>
  <si>
    <t>Garam Oralit Serbuk</t>
  </si>
  <si>
    <t>Bungkus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</si>
  <si>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</si>
  <si>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</si>
  <si>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</si>
  <si>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</si>
  <si>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</si>
  <si>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</si>
  <si>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</si>
  <si>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</si>
  <si>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</si>
  <si>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</si>
  <si>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</si>
  <si>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</si>
  <si>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</si>
  <si>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</si>
  <si>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</si>
  <si>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</si>
  <si>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</si>
  <si>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</si>
  <si>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</si>
  <si>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</si>
  <si>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</si>
  <si>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</si>
  <si>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tube</t>
  </si>
  <si>
    <t>Gentamisin salep kulit</t>
  </si>
  <si>
    <t xml:space="preserve">Simvastatin 20 mg Tablet </t>
  </si>
  <si>
    <t>Zinc Sulfate Monohydrate 20 mg Tablet Dispersible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</si>
  <si>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</si>
  <si>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</si>
  <si>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</si>
  <si>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</si>
  <si>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</si>
  <si>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</si>
  <si>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</si>
  <si>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</si>
  <si>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</si>
  <si>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</si>
  <si>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</si>
  <si>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2025-01 .. 2025-12</t>
  </si>
  <si>
    <t>Ya (min 6)</t>
  </si>
  <si>
    <t>Pemakaian bulanan per obat. Header harus YYYY-MM, contoh 2025-01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</si>
  <si>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</si>
  <si>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</si>
  <si>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</si>
  <si>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</si>
  <si>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2025-01..2025-12 jika pilih 2025).</t>
  </si>
  <si>
    <t>- Minimal 6 bulan untuk AI, 3 bulan untuk fallback Moving Average. 12 bulan optimal.</t>
  </si>
  <si>
    <t>- Jangan isi nama/kode faskes di sheet. Faskes dipilih via dropdown.</t>
  </si>
</sst>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10">
    <font>
      <b val="0"/>
      <i val="0"/>
      <strike val="0"/>
      <u val="none"/>
      <sz val="11"/>
      <color rgb="FF000000"/>
      <name val="Calibri"/>
      <charset val="1"/>
    </font>
    <font>
      <b val="1"/>
      <i val="0"/>
      <strike val="0"/>
      <u val="none"/>
      <sz val="11"/>
      <color rgb="FF000000"/>
      <name val="Calibri"/>
      <charset val="1"/>
    </font>
    <font>
      <b val="0"/>
      <i val="0"/>
      <strike val="0"/>
      <u val="none"/>
      <sz val="14"/>
      <color rgb="FF212529"/>
      <name val="Calibri"/>
      <charset val="1"/>
      <scheme val="minor"/>
    </font>
    <font>
      <b val="0"/>
      <i val="0"/>
      <strike val="0"/>
      <u val="none"/>
      <sz val="14"/>
      <color rgb="FF000000"/>
      <name val="Calibri"/>
      <charset val="1"/>
      <scheme val="minor"/>
    </font>
    <font>
      <b val="0"/>
      <i val="0"/>
      <strike val="0"/>
      <u val="none"/>
      <sz val="14"/>
      <color theme="1"/>
      <name val="Calibri"/>
      <charset val="1"/>
      <scheme val="minor"/>
    </font>
    <font>
      <b val="0"/>
      <i val="0"/>
      <strike val="0"/>
      <u val="none"/>
      <sz val="14"/>
      <color rgb="FF000000"/>
      <name val="Times New Roman"/>
    </font>
    <font>
      <b val="0"/>
      <i val="0"/>
      <strike val="0"/>
      <u val="none"/>
      <sz val="14"/>
      <color rgb="FF000000"/>
      <name val="Aptos Narrow"/>
      <charset val="1"/>
    </font>
    <font>
      <b val="1"/>
      <i val="0"/>
      <strike val="0"/>
      <u val="none"/>
      <sz val="11"/>
      <color rgb="FFFFFFFF"/>
      <name val="Calibri"/>
      <charset val="1"/>
    </font>
    <font>
      <b val="1"/>
      <i val="0"/>
      <strike val="0"/>
      <u val="none"/>
      <sz val="12"/>
      <color rgb="FFFFFFFF"/>
      <name val="Calibri"/>
      <charset val="1"/>
    </font>
    <font>
      <b val="0"/>
      <i val="0"/>
      <strike val="0"/>
      <u val="none"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3" numFmtId="164" fillId="0" borderId="1" applyFont="1" applyNumberFormat="1" applyFill="0" applyBorder="1" applyAlignment="1">
      <alignment horizontal="right" vertical="top" textRotation="0" wrapText="false" shrinkToFit="false"/>
    </xf>
    <xf xfId="0" fontId="2" numFmtId="164" fillId="0" borderId="1" applyFont="1" applyNumberFormat="1" applyFill="0" applyBorder="1" applyAlignment="1">
      <alignment horizontal="right" vertical="top" textRotation="0" wrapText="false" shrinkToFit="false"/>
    </xf>
    <xf xfId="0" fontId="4" numFmtId="164" fillId="0" borderId="1" applyFont="1" applyNumberFormat="1" applyFill="0" applyBorder="1" applyAlignment="1">
      <alignment horizontal="right" vertical="top" textRotation="0" wrapText="false" shrinkToFit="false"/>
    </xf>
    <xf xfId="0" fontId="5" numFmtId="164" fillId="0" borderId="1" applyFont="1" applyNumberFormat="1" applyFill="0" applyBorder="1" applyAlignment="0"/>
    <xf xfId="0" fontId="5" numFmtId="164" fillId="0" borderId="1" applyFont="1" applyNumberFormat="1" applyFill="0" applyBorder="1" applyAlignment="1">
      <alignment horizontal="left" vertical="bottom" textRotation="0" wrapText="false" shrinkToFit="false"/>
    </xf>
    <xf xfId="0" fontId="5" numFmtId="165" fillId="0" borderId="1" applyFont="1" applyNumberFormat="1" applyFill="0" applyBorder="1" applyAlignment="0"/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4" numFmtId="0" fillId="0" borderId="1" applyFont="1" applyNumberFormat="0" applyFill="0" applyBorder="1" applyAlignment="1">
      <alignment vertical="top" textRotation="0" wrapText="false" shrinkToFit="false"/>
    </xf>
    <xf xfId="0" fontId="4" numFmtId="0" fillId="0" borderId="1" applyFont="1" applyNumberFormat="0" applyFill="0" applyBorder="1" applyAlignment="1">
      <alignment horizontal="right" vertical="top" textRotation="0" wrapText="true" shrinkToFit="false"/>
    </xf>
    <xf xfId="0" fontId="4" numFmtId="0" fillId="0" borderId="1" applyFont="1" applyNumberFormat="0" applyFill="0" applyBorder="1" applyAlignment="1">
      <alignment horizontal="right" vertical="top" textRotation="0" wrapText="false" shrinkToFit="false"/>
    </xf>
    <xf xfId="0" fontId="6" numFmtId="0" fillId="0" borderId="1" applyFont="1" applyNumberFormat="0" applyFill="0" applyBorder="1" applyAlignment="1">
      <alignment vertical="top" textRotation="0" wrapText="false" shrinkToFit="false"/>
    </xf>
    <xf xfId="0" fontId="7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8" numFmtId="0" fillId="2" borderId="2" applyFont="1" applyNumberFormat="0" applyFill="1" applyBorder="1" applyAlignment="1">
      <alignment horizontal="center" vertical="center" textRotation="0" wrapText="false" shrinkToFit="false"/>
    </xf>
    <xf xfId="0" fontId="9" numFmtId="3" fillId="0" borderId="1" applyFont="1" applyNumberFormat="1" applyFill="0" applyBorder="1" applyAlignment="0"/>
    <xf xfId="0" fontId="9" numFmtId="3" fillId="0" borderId="0" applyFont="1" applyNumberFormat="1" applyFill="0" applyBorder="0" applyAlignment="0"/>
    <xf xfId="0" fontId="9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00"/>
  <sheetViews>
    <sheetView tabSelected="1" workbookViewId="0" showGridLines="true" showRowColHeaders="1">
      <pane ySplit="1" activePane="bottomLeft" state="frozen" topLeftCell="A2"/>
      <selection pane="bottomLeft" activeCell="R7" sqref="R7"/>
    </sheetView>
  </sheetViews>
  <sheetFormatPr defaultRowHeight="14.4" defaultColWidth="8.83203125" outlineLevelRow="0" outlineLevelCol="0"/>
  <cols>
    <col min="1" max="1" width="14" customWidth="true" style="0"/>
    <col min="2" max="2" width="32" customWidth="true" style="0"/>
    <col min="3" max="3" width="10" customWidth="true" style="0"/>
    <col min="4" max="4" width="14.66406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2" customWidth="true" style="24"/>
    <col min="18" max="18" width="20" customWidth="true" style="0"/>
  </cols>
  <sheetData>
    <row r="1" spans="1:18" customHeight="1" ht="2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21" t="s">
        <v>16</v>
      </c>
      <c r="R1" s="19" t="s">
        <v>17</v>
      </c>
    </row>
    <row r="2" spans="1:18" customHeight="1" ht="19">
      <c r="A2" s="4">
        <v>92000146</v>
      </c>
      <c r="B2" s="5" t="s">
        <v>18</v>
      </c>
      <c r="C2" s="6" t="s">
        <v>19</v>
      </c>
      <c r="D2" s="8">
        <v>457</v>
      </c>
      <c r="E2" s="16">
        <v>10</v>
      </c>
      <c r="F2" s="14">
        <v>51</v>
      </c>
      <c r="G2" s="15">
        <v>9</v>
      </c>
      <c r="H2" s="15">
        <v>16</v>
      </c>
      <c r="I2" s="15">
        <v>2390</v>
      </c>
      <c r="J2" s="15">
        <v>637</v>
      </c>
      <c r="K2" s="15">
        <v>0</v>
      </c>
      <c r="L2" s="18">
        <v>0</v>
      </c>
      <c r="M2" s="15">
        <v>36</v>
      </c>
      <c r="N2" s="15">
        <v>0</v>
      </c>
      <c r="O2" s="15">
        <v>2719</v>
      </c>
      <c r="P2" s="15">
        <v>15</v>
      </c>
      <c r="Q2" s="22">
        <f>SUM(E2:P2)</f>
        <v>5883</v>
      </c>
      <c r="R2" s="20"/>
    </row>
    <row r="3" spans="1:18" customHeight="1" ht="19">
      <c r="A3" s="4">
        <v>92000281</v>
      </c>
      <c r="B3" s="5" t="s">
        <v>20</v>
      </c>
      <c r="C3" s="6" t="s">
        <v>19</v>
      </c>
      <c r="D3" s="8">
        <v>99</v>
      </c>
      <c r="E3" s="17">
        <v>123</v>
      </c>
      <c r="F3" s="15">
        <v>11</v>
      </c>
      <c r="G3" s="15">
        <v>130</v>
      </c>
      <c r="H3" s="15">
        <v>14</v>
      </c>
      <c r="I3" s="15">
        <v>0</v>
      </c>
      <c r="J3" s="15">
        <v>148</v>
      </c>
      <c r="K3" s="15">
        <v>19</v>
      </c>
      <c r="L3" s="18">
        <v>0</v>
      </c>
      <c r="M3" s="15">
        <v>14</v>
      </c>
      <c r="N3" s="15">
        <v>44</v>
      </c>
      <c r="O3" s="15">
        <v>25</v>
      </c>
      <c r="P3" s="15">
        <v>41</v>
      </c>
      <c r="Q3" s="22">
        <f>SUM(E3:P3)</f>
        <v>569</v>
      </c>
      <c r="R3" s="20"/>
    </row>
    <row r="4" spans="1:18" customHeight="1" ht="19">
      <c r="A4" s="4">
        <v>92000407</v>
      </c>
      <c r="B4" s="5" t="s">
        <v>21</v>
      </c>
      <c r="C4" s="6" t="s">
        <v>19</v>
      </c>
      <c r="D4" s="8">
        <v>78.70999999999999</v>
      </c>
      <c r="E4" s="17">
        <v>212</v>
      </c>
      <c r="F4" s="15">
        <v>310</v>
      </c>
      <c r="G4" s="15">
        <v>547</v>
      </c>
      <c r="H4" s="15">
        <v>468</v>
      </c>
      <c r="I4" s="15">
        <v>283</v>
      </c>
      <c r="J4" s="15">
        <v>0</v>
      </c>
      <c r="K4" s="15">
        <v>0</v>
      </c>
      <c r="L4" s="18">
        <v>593</v>
      </c>
      <c r="M4" s="15">
        <v>475</v>
      </c>
      <c r="N4" s="15">
        <v>374</v>
      </c>
      <c r="O4" s="15">
        <v>839</v>
      </c>
      <c r="P4" s="15">
        <v>512</v>
      </c>
      <c r="Q4" s="22">
        <f>SUM(E4:P4)</f>
        <v>4613</v>
      </c>
      <c r="R4" s="20"/>
    </row>
    <row r="5" spans="1:18" customHeight="1" ht="19">
      <c r="A5" s="4">
        <v>92001058</v>
      </c>
      <c r="B5" s="5" t="s">
        <v>22</v>
      </c>
      <c r="C5" s="6" t="s">
        <v>19</v>
      </c>
      <c r="D5" s="8">
        <v>61.55</v>
      </c>
      <c r="E5" s="17">
        <v>1064</v>
      </c>
      <c r="F5" s="15">
        <v>756</v>
      </c>
      <c r="G5" s="15">
        <v>780</v>
      </c>
      <c r="H5" s="15">
        <v>1064</v>
      </c>
      <c r="I5" s="15">
        <v>488</v>
      </c>
      <c r="J5" s="15">
        <v>518</v>
      </c>
      <c r="K5" s="15">
        <v>810</v>
      </c>
      <c r="L5" s="18">
        <v>821</v>
      </c>
      <c r="M5" s="15">
        <v>449</v>
      </c>
      <c r="N5" s="15">
        <v>60</v>
      </c>
      <c r="O5" s="15">
        <v>863</v>
      </c>
      <c r="P5" s="15">
        <v>394</v>
      </c>
      <c r="Q5" s="22">
        <f>SUM(E5:P5)</f>
        <v>8067</v>
      </c>
      <c r="R5" s="20"/>
    </row>
    <row r="6" spans="1:18" customHeight="1" ht="19">
      <c r="A6" s="4">
        <v>92000881</v>
      </c>
      <c r="B6" s="5" t="s">
        <v>23</v>
      </c>
      <c r="C6" s="6" t="s">
        <v>19</v>
      </c>
      <c r="D6" s="8">
        <v>251</v>
      </c>
      <c r="E6" s="17">
        <v>2335</v>
      </c>
      <c r="F6" s="15">
        <v>2003</v>
      </c>
      <c r="G6" s="15">
        <v>1942</v>
      </c>
      <c r="H6" s="15">
        <v>2501</v>
      </c>
      <c r="I6" s="15">
        <v>808</v>
      </c>
      <c r="J6" s="15">
        <v>2169</v>
      </c>
      <c r="K6" s="15">
        <v>2075</v>
      </c>
      <c r="L6" s="18">
        <v>2044</v>
      </c>
      <c r="M6" s="15">
        <v>1461</v>
      </c>
      <c r="N6" s="15">
        <v>1321</v>
      </c>
      <c r="O6" s="15">
        <v>1227</v>
      </c>
      <c r="P6" s="15">
        <v>1303</v>
      </c>
      <c r="Q6" s="22">
        <f>SUM(E6:P6)</f>
        <v>21189</v>
      </c>
      <c r="R6" s="20"/>
    </row>
    <row r="7" spans="1:18" customHeight="1" ht="19">
      <c r="A7" s="4">
        <v>92000798</v>
      </c>
      <c r="B7" s="5" t="s">
        <v>24</v>
      </c>
      <c r="C7" s="6" t="s">
        <v>19</v>
      </c>
      <c r="D7" s="8">
        <v>55</v>
      </c>
      <c r="E7" s="17">
        <v>1396</v>
      </c>
      <c r="F7" s="15">
        <v>9437</v>
      </c>
      <c r="G7" s="15">
        <v>1036</v>
      </c>
      <c r="H7" s="15">
        <v>1711</v>
      </c>
      <c r="I7" s="15">
        <v>453</v>
      </c>
      <c r="J7" s="15">
        <v>1178</v>
      </c>
      <c r="K7" s="15">
        <v>1337</v>
      </c>
      <c r="L7" s="18">
        <v>1872</v>
      </c>
      <c r="M7" s="15">
        <v>841</v>
      </c>
      <c r="N7" s="15">
        <v>1239</v>
      </c>
      <c r="O7" s="15">
        <v>1325</v>
      </c>
      <c r="P7" s="15">
        <v>1048</v>
      </c>
      <c r="Q7" s="22">
        <f>SUM(E7:P7)</f>
        <v>22873</v>
      </c>
      <c r="R7" s="20"/>
    </row>
    <row r="8" spans="1:18" customHeight="1" ht="19">
      <c r="A8" s="4">
        <v>92000653</v>
      </c>
      <c r="B8" s="4" t="s">
        <v>25</v>
      </c>
      <c r="C8" s="7" t="s">
        <v>19</v>
      </c>
      <c r="D8" s="9">
        <v>265</v>
      </c>
      <c r="E8" s="17">
        <v>4349</v>
      </c>
      <c r="F8" s="15">
        <v>4487</v>
      </c>
      <c r="G8" s="15">
        <v>7204</v>
      </c>
      <c r="H8" s="15">
        <v>6258</v>
      </c>
      <c r="I8" s="15">
        <v>2087</v>
      </c>
      <c r="J8" s="15">
        <v>7197</v>
      </c>
      <c r="K8" s="15">
        <v>56</v>
      </c>
      <c r="L8" s="18">
        <v>5950</v>
      </c>
      <c r="M8" s="15">
        <v>5853</v>
      </c>
      <c r="N8" s="15">
        <v>4135</v>
      </c>
      <c r="O8" s="15">
        <v>16586</v>
      </c>
      <c r="P8" s="15">
        <v>44</v>
      </c>
      <c r="Q8" s="22">
        <f>SUM(E8:P8)</f>
        <v>64206</v>
      </c>
      <c r="R8" s="20"/>
    </row>
    <row r="9" spans="1:18" customHeight="1" ht="19">
      <c r="A9" s="4">
        <v>91000255</v>
      </c>
      <c r="B9" s="5" t="s">
        <v>26</v>
      </c>
      <c r="C9" s="6" t="s">
        <v>19</v>
      </c>
      <c r="D9" s="8">
        <v>141</v>
      </c>
      <c r="E9" s="17">
        <v>211</v>
      </c>
      <c r="F9" s="15">
        <v>254</v>
      </c>
      <c r="G9" s="15">
        <v>371</v>
      </c>
      <c r="H9" s="15">
        <v>0</v>
      </c>
      <c r="I9" s="15">
        <v>106</v>
      </c>
      <c r="J9" s="15">
        <v>0</v>
      </c>
      <c r="K9" s="15">
        <v>214</v>
      </c>
      <c r="L9" s="18">
        <v>75</v>
      </c>
      <c r="M9" s="15">
        <v>8</v>
      </c>
      <c r="N9" s="15">
        <v>67</v>
      </c>
      <c r="O9" s="15">
        <v>9</v>
      </c>
      <c r="P9" s="15">
        <v>0</v>
      </c>
      <c r="Q9" s="22">
        <f>SUM(E9:P9)</f>
        <v>1315</v>
      </c>
      <c r="R9" s="20"/>
    </row>
    <row r="10" spans="1:18" customHeight="1" ht="19">
      <c r="A10" s="4">
        <v>92000139</v>
      </c>
      <c r="B10" s="5" t="s">
        <v>27</v>
      </c>
      <c r="C10" s="6" t="s">
        <v>19</v>
      </c>
      <c r="D10" s="10">
        <f>21642/100</f>
        <v>216.41999999999999</v>
      </c>
      <c r="E10" s="17">
        <v>0</v>
      </c>
      <c r="F10" s="15">
        <v>25</v>
      </c>
      <c r="G10" s="15">
        <v>111</v>
      </c>
      <c r="H10" s="15">
        <v>20</v>
      </c>
      <c r="I10" s="15">
        <v>99</v>
      </c>
      <c r="J10" s="15">
        <v>383</v>
      </c>
      <c r="K10" s="15">
        <v>17</v>
      </c>
      <c r="L10" s="18">
        <v>11</v>
      </c>
      <c r="M10" s="15">
        <v>0</v>
      </c>
      <c r="N10" s="15">
        <v>25</v>
      </c>
      <c r="O10" s="15">
        <v>121</v>
      </c>
      <c r="P10" s="15">
        <v>26</v>
      </c>
      <c r="Q10" s="22">
        <f>SUM(E10:P10)</f>
        <v>838</v>
      </c>
      <c r="R10" s="20"/>
    </row>
    <row r="11" spans="1:18" customHeight="1" ht="19">
      <c r="A11" s="4">
        <v>92000403</v>
      </c>
      <c r="B11" s="5" t="s">
        <v>28</v>
      </c>
      <c r="C11" s="6" t="s">
        <v>29</v>
      </c>
      <c r="D11" s="8">
        <v>2109</v>
      </c>
      <c r="E11" s="17">
        <v>42</v>
      </c>
      <c r="F11" s="15">
        <v>18</v>
      </c>
      <c r="G11" s="15">
        <v>19</v>
      </c>
      <c r="H11" s="15">
        <v>17</v>
      </c>
      <c r="I11" s="15">
        <v>0</v>
      </c>
      <c r="J11" s="15">
        <v>179</v>
      </c>
      <c r="K11" s="15">
        <v>1</v>
      </c>
      <c r="L11" s="18">
        <v>26</v>
      </c>
      <c r="M11" s="15">
        <v>9</v>
      </c>
      <c r="N11" s="15">
        <v>2</v>
      </c>
      <c r="O11" s="15">
        <v>4</v>
      </c>
      <c r="P11" s="15">
        <v>3</v>
      </c>
      <c r="Q11" s="22">
        <f>SUM(E11:P11)</f>
        <v>320</v>
      </c>
      <c r="R11" s="20"/>
    </row>
    <row r="12" spans="1:18" customHeight="1" ht="19">
      <c r="A12" s="4">
        <v>92000517</v>
      </c>
      <c r="B12" s="4" t="s">
        <v>30</v>
      </c>
      <c r="C12" s="7" t="s">
        <v>19</v>
      </c>
      <c r="D12" s="9">
        <f>10156.5/100</f>
        <v>101.565</v>
      </c>
      <c r="E12" s="17">
        <v>0</v>
      </c>
      <c r="F12" s="15">
        <v>5189</v>
      </c>
      <c r="G12" s="15">
        <v>4676</v>
      </c>
      <c r="H12" s="15">
        <v>5004</v>
      </c>
      <c r="I12" s="15">
        <v>1753</v>
      </c>
      <c r="J12" s="15">
        <v>4694</v>
      </c>
      <c r="K12" s="15">
        <v>4252</v>
      </c>
      <c r="L12" s="18">
        <v>4199</v>
      </c>
      <c r="M12" s="15">
        <v>3714</v>
      </c>
      <c r="N12" s="15">
        <v>3373</v>
      </c>
      <c r="O12" s="15">
        <v>3626</v>
      </c>
      <c r="P12" s="15">
        <v>2376</v>
      </c>
      <c r="Q12" s="22">
        <f>SUM(E12:P12)</f>
        <v>42856</v>
      </c>
      <c r="R12" s="20"/>
    </row>
    <row r="13" spans="1:18" customHeight="1" ht="19">
      <c r="A13" s="4">
        <v>92000770</v>
      </c>
      <c r="B13" s="5" t="s">
        <v>31</v>
      </c>
      <c r="C13" s="6" t="s">
        <v>19</v>
      </c>
      <c r="D13" s="8">
        <v>580</v>
      </c>
      <c r="E13" s="17">
        <v>0</v>
      </c>
      <c r="F13" s="15">
        <v>8</v>
      </c>
      <c r="G13" s="15">
        <v>10</v>
      </c>
      <c r="H13" s="15">
        <v>8</v>
      </c>
      <c r="I13" s="15">
        <v>10</v>
      </c>
      <c r="J13" s="15">
        <v>9</v>
      </c>
      <c r="K13" s="15">
        <v>10</v>
      </c>
      <c r="L13" s="18">
        <v>115</v>
      </c>
      <c r="M13" s="15">
        <v>0</v>
      </c>
      <c r="N13" s="15">
        <v>0</v>
      </c>
      <c r="O13" s="15">
        <v>117</v>
      </c>
      <c r="P13" s="15">
        <v>10</v>
      </c>
      <c r="Q13" s="22">
        <f>SUM(E13:P13)</f>
        <v>297</v>
      </c>
      <c r="R13" s="20"/>
    </row>
    <row r="14" spans="1:18" customHeight="1" ht="19">
      <c r="A14" s="4">
        <v>92000435</v>
      </c>
      <c r="B14" s="5" t="s">
        <v>32</v>
      </c>
      <c r="C14" s="6" t="s">
        <v>19</v>
      </c>
      <c r="D14" s="8">
        <v>22356</v>
      </c>
      <c r="E14" s="17">
        <v>24</v>
      </c>
      <c r="F14" s="15">
        <v>0</v>
      </c>
      <c r="G14" s="15">
        <v>13</v>
      </c>
      <c r="H14" s="15">
        <v>15</v>
      </c>
      <c r="I14" s="15">
        <v>0</v>
      </c>
      <c r="J14" s="15">
        <v>0</v>
      </c>
      <c r="K14" s="15">
        <v>0</v>
      </c>
      <c r="L14" s="18">
        <v>0</v>
      </c>
      <c r="M14" s="15">
        <v>25</v>
      </c>
      <c r="N14" s="15">
        <v>16</v>
      </c>
      <c r="O14" s="15">
        <v>0</v>
      </c>
      <c r="P14" s="15">
        <v>21</v>
      </c>
      <c r="Q14" s="22">
        <f>SUM(E14:P14)</f>
        <v>114</v>
      </c>
      <c r="R14" s="20"/>
    </row>
    <row r="15" spans="1:18" customHeight="1" ht="19">
      <c r="A15" s="4">
        <v>92000914</v>
      </c>
      <c r="B15" s="5" t="s">
        <v>33</v>
      </c>
      <c r="C15" s="6" t="s">
        <v>19</v>
      </c>
      <c r="D15" s="8">
        <f>46020/100</f>
        <v>460.19999999999999</v>
      </c>
      <c r="E15" s="17">
        <v>14</v>
      </c>
      <c r="F15" s="15">
        <v>0</v>
      </c>
      <c r="G15" s="15">
        <v>16</v>
      </c>
      <c r="H15" s="15">
        <v>0</v>
      </c>
      <c r="I15" s="15">
        <v>0</v>
      </c>
      <c r="J15" s="15">
        <v>0</v>
      </c>
      <c r="K15" s="15">
        <v>12</v>
      </c>
      <c r="L15" s="18">
        <v>14</v>
      </c>
      <c r="M15" s="15">
        <v>19</v>
      </c>
      <c r="N15" s="15">
        <v>11</v>
      </c>
      <c r="O15" s="15">
        <v>0</v>
      </c>
      <c r="P15" s="15">
        <v>0</v>
      </c>
      <c r="Q15" s="22">
        <f>SUM(E15:P15)</f>
        <v>86</v>
      </c>
      <c r="R15" s="20"/>
    </row>
    <row r="16" spans="1:18" customHeight="1" ht="19">
      <c r="A16" s="4">
        <v>92000634</v>
      </c>
      <c r="B16" s="4" t="s">
        <v>34</v>
      </c>
      <c r="C16" s="7" t="s">
        <v>35</v>
      </c>
      <c r="D16" s="9">
        <v>1893</v>
      </c>
      <c r="E16" s="17">
        <v>24</v>
      </c>
      <c r="F16" s="15">
        <v>0</v>
      </c>
      <c r="G16" s="15">
        <v>13</v>
      </c>
      <c r="H16" s="15">
        <v>18</v>
      </c>
      <c r="I16" s="15">
        <v>12</v>
      </c>
      <c r="J16" s="15">
        <v>23</v>
      </c>
      <c r="K16" s="15">
        <v>15</v>
      </c>
      <c r="L16" s="18">
        <v>12</v>
      </c>
      <c r="M16" s="15">
        <v>0</v>
      </c>
      <c r="N16" s="15">
        <v>0</v>
      </c>
      <c r="O16" s="15">
        <v>14</v>
      </c>
      <c r="P16" s="15">
        <v>0</v>
      </c>
      <c r="Q16" s="22">
        <f>SUM(E16:P16)</f>
        <v>131</v>
      </c>
      <c r="R16" s="20"/>
    </row>
    <row r="17" spans="1:18" customHeight="1" ht="19">
      <c r="A17" s="4"/>
      <c r="B17" s="5" t="s">
        <v>36</v>
      </c>
      <c r="C17" s="6" t="s">
        <v>35</v>
      </c>
      <c r="D17" s="8">
        <v>1609.5</v>
      </c>
      <c r="E17" s="17"/>
      <c r="F17" s="15"/>
      <c r="G17" s="15"/>
      <c r="H17" s="15"/>
      <c r="I17" s="15"/>
      <c r="J17" s="15"/>
      <c r="K17" s="15"/>
      <c r="L17" s="18"/>
      <c r="M17" s="15"/>
      <c r="N17" s="15"/>
      <c r="O17" s="15"/>
      <c r="P17" s="15"/>
      <c r="Q17" s="22"/>
      <c r="R17" s="20"/>
    </row>
    <row r="18" spans="1:18" customHeight="1" ht="19">
      <c r="A18" s="4">
        <v>92002848</v>
      </c>
      <c r="B18" s="5" t="s">
        <v>37</v>
      </c>
      <c r="C18" s="6" t="s">
        <v>38</v>
      </c>
      <c r="D18" s="11">
        <v>456.060000000000002</v>
      </c>
      <c r="E18" s="17">
        <v>0</v>
      </c>
      <c r="F18" s="15">
        <v>207</v>
      </c>
      <c r="G18" s="15">
        <v>0</v>
      </c>
      <c r="H18" s="15">
        <v>105</v>
      </c>
      <c r="I18" s="15">
        <v>0</v>
      </c>
      <c r="J18" s="15">
        <v>15</v>
      </c>
      <c r="K18" s="15">
        <v>0</v>
      </c>
      <c r="L18" s="18">
        <v>29</v>
      </c>
      <c r="M18" s="15">
        <v>0</v>
      </c>
      <c r="N18" s="15">
        <v>11</v>
      </c>
      <c r="O18" s="15">
        <v>179</v>
      </c>
      <c r="P18" s="15">
        <v>178</v>
      </c>
      <c r="Q18" s="22">
        <f>SUM(E18:P18)</f>
        <v>724</v>
      </c>
      <c r="R18" s="20"/>
    </row>
    <row r="19" spans="1:18" customHeight="1" ht="19">
      <c r="A19" s="4">
        <v>92000163</v>
      </c>
      <c r="B19" s="5" t="s">
        <v>39</v>
      </c>
      <c r="C19" s="6" t="s">
        <v>19</v>
      </c>
      <c r="D19" s="12">
        <v>408</v>
      </c>
      <c r="E19" s="17">
        <v>109</v>
      </c>
      <c r="F19" s="15">
        <v>8</v>
      </c>
      <c r="G19" s="15">
        <v>9</v>
      </c>
      <c r="H19" s="15">
        <v>10</v>
      </c>
      <c r="I19" s="15">
        <v>8</v>
      </c>
      <c r="J19" s="15">
        <v>10</v>
      </c>
      <c r="K19" s="15">
        <v>10</v>
      </c>
      <c r="L19" s="18">
        <v>8</v>
      </c>
      <c r="M19" s="15">
        <v>133</v>
      </c>
      <c r="N19" s="15">
        <v>0</v>
      </c>
      <c r="O19" s="15">
        <v>0</v>
      </c>
      <c r="P19" s="15">
        <v>8</v>
      </c>
      <c r="Q19" s="22">
        <f>SUM(E19:P19)</f>
        <v>313</v>
      </c>
      <c r="R19" s="20"/>
    </row>
    <row r="20" spans="1:18" customHeight="1" ht="19">
      <c r="A20" s="4">
        <v>92000445</v>
      </c>
      <c r="B20" s="5" t="s">
        <v>40</v>
      </c>
      <c r="C20" s="6" t="s">
        <v>19</v>
      </c>
      <c r="D20" s="8">
        <v>26082</v>
      </c>
      <c r="E20" s="17">
        <v>11</v>
      </c>
      <c r="F20" s="15">
        <v>0</v>
      </c>
      <c r="G20" s="15">
        <v>0</v>
      </c>
      <c r="H20" s="15">
        <v>17</v>
      </c>
      <c r="I20" s="15">
        <v>24</v>
      </c>
      <c r="J20" s="15">
        <v>0</v>
      </c>
      <c r="K20" s="15">
        <v>24</v>
      </c>
      <c r="L20" s="18">
        <v>21</v>
      </c>
      <c r="M20" s="15">
        <v>11</v>
      </c>
      <c r="N20" s="15">
        <v>15</v>
      </c>
      <c r="O20" s="15">
        <v>23</v>
      </c>
      <c r="P20" s="15">
        <v>0</v>
      </c>
      <c r="Q20" s="22">
        <f>SUM(E20:P20)</f>
        <v>146</v>
      </c>
      <c r="R20" s="20"/>
    </row>
    <row r="21" spans="1:18" customHeight="1" ht="19">
      <c r="A21" s="4"/>
      <c r="B21" s="4" t="s">
        <v>41</v>
      </c>
      <c r="C21" s="7" t="s">
        <v>19</v>
      </c>
      <c r="D21" s="9">
        <v>177</v>
      </c>
      <c r="E21" s="17"/>
      <c r="F21" s="15"/>
      <c r="G21" s="15"/>
      <c r="H21" s="15"/>
      <c r="I21" s="15"/>
      <c r="J21" s="15"/>
      <c r="K21" s="15"/>
      <c r="L21" s="18"/>
      <c r="M21" s="15"/>
      <c r="N21" s="15"/>
      <c r="O21" s="15"/>
      <c r="P21" s="15"/>
      <c r="Q21" s="22"/>
      <c r="R21" s="20"/>
    </row>
    <row r="22" spans="1:18" customHeight="1" ht="19">
      <c r="A22" s="4">
        <v>92001124</v>
      </c>
      <c r="B22" s="4" t="s">
        <v>42</v>
      </c>
      <c r="C22" s="7" t="s">
        <v>19</v>
      </c>
      <c r="D22" s="12">
        <v>62.56</v>
      </c>
      <c r="E22" s="17">
        <v>2429</v>
      </c>
      <c r="F22" s="15">
        <v>1269</v>
      </c>
      <c r="G22" s="15">
        <v>1178</v>
      </c>
      <c r="H22" s="15">
        <v>1419</v>
      </c>
      <c r="I22" s="15">
        <v>717</v>
      </c>
      <c r="J22" s="15">
        <v>1409</v>
      </c>
      <c r="K22" s="15">
        <v>23</v>
      </c>
      <c r="L22" s="18">
        <v>273</v>
      </c>
      <c r="M22" s="15">
        <v>0</v>
      </c>
      <c r="N22" s="15">
        <v>37</v>
      </c>
      <c r="O22" s="15">
        <v>39</v>
      </c>
      <c r="P22" s="15">
        <v>38</v>
      </c>
      <c r="Q22" s="22">
        <f>SUM(E22:P22)</f>
        <v>8831</v>
      </c>
      <c r="R22" s="20"/>
    </row>
    <row r="23" spans="1:18" customHeight="1" ht="19">
      <c r="A23" s="4"/>
      <c r="B23" s="4" t="s">
        <v>43</v>
      </c>
      <c r="C23" s="7" t="s">
        <v>19</v>
      </c>
      <c r="D23" s="12">
        <v>149</v>
      </c>
      <c r="E23" s="17"/>
      <c r="F23" s="15"/>
      <c r="G23" s="15"/>
      <c r="H23" s="15"/>
      <c r="I23" s="15"/>
      <c r="J23" s="15"/>
      <c r="K23" s="15"/>
      <c r="L23" s="18"/>
      <c r="M23" s="15"/>
      <c r="N23" s="15"/>
      <c r="O23" s="15"/>
      <c r="P23" s="15"/>
      <c r="Q23" s="22"/>
      <c r="R23" s="20"/>
    </row>
    <row r="24" spans="1:18" customHeight="1" ht="19">
      <c r="A24" s="4">
        <v>92000572</v>
      </c>
      <c r="B24" s="5" t="s">
        <v>44</v>
      </c>
      <c r="C24" s="6" t="s">
        <v>29</v>
      </c>
      <c r="D24" s="13">
        <v>1763.90000000000009</v>
      </c>
      <c r="E24" s="17">
        <v>67</v>
      </c>
      <c r="F24" s="15">
        <v>47</v>
      </c>
      <c r="G24" s="15">
        <v>48</v>
      </c>
      <c r="H24" s="15">
        <v>107</v>
      </c>
      <c r="I24" s="15">
        <v>18</v>
      </c>
      <c r="J24" s="15">
        <v>87</v>
      </c>
      <c r="K24" s="15">
        <v>53</v>
      </c>
      <c r="L24" s="18">
        <v>8</v>
      </c>
      <c r="M24" s="15">
        <v>0</v>
      </c>
      <c r="N24" s="15">
        <v>0</v>
      </c>
      <c r="O24" s="15">
        <v>0</v>
      </c>
      <c r="P24" s="15">
        <v>8</v>
      </c>
      <c r="Q24" s="22">
        <f>SUM(E24:P24)</f>
        <v>443</v>
      </c>
      <c r="R24" s="20"/>
    </row>
    <row r="25" spans="1:18" customHeight="1" ht="19">
      <c r="A25" s="4">
        <v>92000706</v>
      </c>
      <c r="B25" s="5" t="s">
        <v>45</v>
      </c>
      <c r="C25" s="6" t="s">
        <v>19</v>
      </c>
      <c r="D25" s="8">
        <v>83.75</v>
      </c>
      <c r="E25" s="17">
        <v>351</v>
      </c>
      <c r="F25" s="15">
        <v>0</v>
      </c>
      <c r="G25" s="15">
        <v>0</v>
      </c>
      <c r="H25" s="15">
        <v>1436</v>
      </c>
      <c r="I25" s="15">
        <v>661</v>
      </c>
      <c r="J25" s="15">
        <v>1028</v>
      </c>
      <c r="K25" s="15">
        <v>1586</v>
      </c>
      <c r="L25" s="18">
        <v>1531</v>
      </c>
      <c r="M25" s="15">
        <v>429</v>
      </c>
      <c r="N25" s="15">
        <v>49</v>
      </c>
      <c r="O25" s="15">
        <v>0</v>
      </c>
      <c r="P25" s="15">
        <v>0</v>
      </c>
      <c r="Q25" s="22">
        <f>SUM(E25:P25)</f>
        <v>7071</v>
      </c>
      <c r="R25" s="20"/>
    </row>
    <row r="26" spans="1:18" customHeight="1" ht="19">
      <c r="A26" s="4">
        <v>92001386</v>
      </c>
      <c r="B26" s="4" t="s">
        <v>46</v>
      </c>
      <c r="C26" s="7" t="s">
        <v>19</v>
      </c>
      <c r="D26" s="12">
        <v>141</v>
      </c>
      <c r="E26" s="17">
        <v>338</v>
      </c>
      <c r="F26" s="15">
        <v>0</v>
      </c>
      <c r="G26" s="15">
        <v>9</v>
      </c>
      <c r="H26" s="15">
        <v>12</v>
      </c>
      <c r="I26" s="15">
        <v>0</v>
      </c>
      <c r="J26" s="15">
        <v>9</v>
      </c>
      <c r="K26" s="15">
        <v>12</v>
      </c>
      <c r="L26" s="18">
        <v>25</v>
      </c>
      <c r="M26" s="15">
        <v>15</v>
      </c>
      <c r="N26" s="15">
        <v>10</v>
      </c>
      <c r="O26" s="15">
        <v>0</v>
      </c>
      <c r="P26" s="15">
        <v>16</v>
      </c>
      <c r="Q26" s="22">
        <f>SUM(E26:P26)</f>
        <v>446</v>
      </c>
      <c r="R26" s="20"/>
    </row>
    <row r="27" spans="1:18" customHeight="1" ht="19">
      <c r="A27" s="4">
        <v>92000986</v>
      </c>
      <c r="B27" s="4" t="s">
        <v>47</v>
      </c>
      <c r="C27" s="7" t="s">
        <v>35</v>
      </c>
      <c r="D27" s="12">
        <v>1458</v>
      </c>
      <c r="E27" s="17">
        <v>26</v>
      </c>
      <c r="F27" s="15">
        <v>12</v>
      </c>
      <c r="G27" s="15">
        <v>9</v>
      </c>
      <c r="H27" s="15">
        <v>4</v>
      </c>
      <c r="I27" s="15">
        <v>10</v>
      </c>
      <c r="J27" s="15">
        <v>0</v>
      </c>
      <c r="K27" s="15">
        <v>0</v>
      </c>
      <c r="L27" s="18">
        <v>0</v>
      </c>
      <c r="M27" s="15">
        <v>0</v>
      </c>
      <c r="N27" s="15">
        <v>9</v>
      </c>
      <c r="O27" s="15">
        <v>8</v>
      </c>
      <c r="P27" s="15">
        <v>0</v>
      </c>
      <c r="Q27" s="22">
        <f>SUM(E27:P27)</f>
        <v>78</v>
      </c>
      <c r="R27" s="20"/>
    </row>
    <row r="28" spans="1:18" customHeight="1" ht="19">
      <c r="A28" s="4">
        <v>92000209</v>
      </c>
      <c r="B28" s="4" t="s">
        <v>48</v>
      </c>
      <c r="C28" s="7" t="s">
        <v>19</v>
      </c>
      <c r="D28" s="11">
        <v>102.92</v>
      </c>
      <c r="E28" s="17">
        <v>58</v>
      </c>
      <c r="F28" s="15">
        <v>15</v>
      </c>
      <c r="G28" s="15">
        <v>508</v>
      </c>
      <c r="H28" s="15">
        <v>598</v>
      </c>
      <c r="I28" s="15">
        <v>16</v>
      </c>
      <c r="J28" s="15">
        <v>623</v>
      </c>
      <c r="K28" s="15">
        <v>42</v>
      </c>
      <c r="L28" s="18">
        <v>41</v>
      </c>
      <c r="M28" s="15">
        <v>533</v>
      </c>
      <c r="N28" s="15">
        <v>54</v>
      </c>
      <c r="O28" s="15">
        <v>23</v>
      </c>
      <c r="P28" s="15">
        <v>339</v>
      </c>
      <c r="Q28" s="22">
        <f>SUM(E28:P28)</f>
        <v>2850</v>
      </c>
      <c r="R28" s="20"/>
    </row>
    <row r="29" spans="1:18" customHeight="1" ht="19">
      <c r="A29" s="4"/>
      <c r="B29" s="4" t="s">
        <v>49</v>
      </c>
      <c r="C29" s="7" t="s">
        <v>19</v>
      </c>
      <c r="D29" s="12">
        <v>165</v>
      </c>
      <c r="E29" s="17"/>
      <c r="F29" s="15"/>
      <c r="G29" s="15"/>
      <c r="H29" s="15"/>
      <c r="I29" s="15"/>
      <c r="J29" s="15"/>
      <c r="K29" s="15"/>
      <c r="L29" s="18"/>
      <c r="M29" s="15"/>
      <c r="N29" s="15"/>
      <c r="O29" s="15"/>
      <c r="P29" s="15"/>
      <c r="Q29" s="22"/>
      <c r="R29" s="20"/>
    </row>
    <row r="30" spans="1:18" customHeight="1" ht="19">
      <c r="A30" s="4">
        <v>92000756</v>
      </c>
      <c r="B30" s="5" t="s">
        <v>50</v>
      </c>
      <c r="C30" s="6" t="s">
        <v>35</v>
      </c>
      <c r="D30" s="13">
        <v>1622.61999999999989</v>
      </c>
      <c r="E30" s="17">
        <v>9</v>
      </c>
      <c r="F30" s="15">
        <v>21</v>
      </c>
      <c r="G30" s="15">
        <v>11</v>
      </c>
      <c r="H30" s="15">
        <v>0</v>
      </c>
      <c r="I30" s="15">
        <v>10</v>
      </c>
      <c r="J30" s="15">
        <v>9</v>
      </c>
      <c r="K30" s="15">
        <v>24</v>
      </c>
      <c r="L30" s="18">
        <v>11</v>
      </c>
      <c r="M30" s="15">
        <v>8</v>
      </c>
      <c r="N30" s="15">
        <v>2</v>
      </c>
      <c r="O30" s="15">
        <v>1</v>
      </c>
      <c r="P30" s="15">
        <v>10</v>
      </c>
      <c r="Q30" s="22">
        <f>SUM(E30:P30)</f>
        <v>116</v>
      </c>
      <c r="R30" s="20"/>
    </row>
    <row r="31" spans="1:18" customHeight="1" ht="19">
      <c r="A31" s="4">
        <v>92001960</v>
      </c>
      <c r="B31" s="5" t="s">
        <v>51</v>
      </c>
      <c r="C31" s="6" t="s">
        <v>52</v>
      </c>
      <c r="D31" s="11">
        <v>150.36000000000001</v>
      </c>
      <c r="E31" s="17">
        <v>313</v>
      </c>
      <c r="F31" s="15">
        <v>163</v>
      </c>
      <c r="G31" s="15">
        <v>83</v>
      </c>
      <c r="H31" s="15">
        <v>254</v>
      </c>
      <c r="I31" s="15">
        <v>139</v>
      </c>
      <c r="J31" s="15">
        <v>227</v>
      </c>
      <c r="K31" s="15">
        <v>284</v>
      </c>
      <c r="L31" s="18">
        <v>390</v>
      </c>
      <c r="M31" s="15">
        <v>0</v>
      </c>
      <c r="N31" s="15">
        <v>41</v>
      </c>
      <c r="O31" s="15">
        <v>8</v>
      </c>
      <c r="P31" s="15">
        <v>46</v>
      </c>
      <c r="Q31" s="22">
        <f>SUM(E31:P31)</f>
        <v>1948</v>
      </c>
      <c r="R31" s="20"/>
    </row>
    <row r="32" spans="1:18" customHeight="1" ht="19">
      <c r="A32" s="4">
        <v>92001267</v>
      </c>
      <c r="B32" s="5" t="s">
        <v>53</v>
      </c>
      <c r="C32" s="6" t="s">
        <v>19</v>
      </c>
      <c r="D32" s="11">
        <v>225.33000000000001</v>
      </c>
      <c r="E32" s="17">
        <v>4247</v>
      </c>
      <c r="F32" s="15">
        <v>4664</v>
      </c>
      <c r="G32" s="15">
        <v>4953</v>
      </c>
      <c r="H32" s="15">
        <v>3859</v>
      </c>
      <c r="I32" s="15">
        <v>2075</v>
      </c>
      <c r="J32" s="15">
        <v>4427</v>
      </c>
      <c r="K32" s="15">
        <v>0</v>
      </c>
      <c r="L32" s="18">
        <v>6162</v>
      </c>
      <c r="M32" s="15">
        <v>1654</v>
      </c>
      <c r="N32" s="15">
        <v>3530</v>
      </c>
      <c r="O32" s="15">
        <v>3768</v>
      </c>
      <c r="P32" s="15">
        <v>2953</v>
      </c>
      <c r="Q32" s="22">
        <f>SUM(E32:P32)</f>
        <v>42292</v>
      </c>
      <c r="R32" s="20"/>
    </row>
    <row r="33" spans="1:18" customHeight="1" ht="19">
      <c r="A33" s="4">
        <v>92001885</v>
      </c>
      <c r="B33" s="4" t="s">
        <v>54</v>
      </c>
      <c r="C33" s="7" t="s">
        <v>19</v>
      </c>
      <c r="D33" s="12">
        <v>100</v>
      </c>
      <c r="E33" s="17">
        <v>24</v>
      </c>
      <c r="F33" s="15">
        <v>108</v>
      </c>
      <c r="G33" s="15">
        <v>0</v>
      </c>
      <c r="H33" s="15">
        <v>15</v>
      </c>
      <c r="I33" s="15">
        <v>0</v>
      </c>
      <c r="J33" s="15">
        <v>120</v>
      </c>
      <c r="K33" s="15">
        <v>809</v>
      </c>
      <c r="L33" s="18">
        <v>125</v>
      </c>
      <c r="M33" s="15">
        <v>0</v>
      </c>
      <c r="N33" s="15">
        <v>109</v>
      </c>
      <c r="O33" s="15">
        <v>96</v>
      </c>
      <c r="P33" s="15">
        <v>111</v>
      </c>
      <c r="Q33" s="22">
        <f>SUM(E33:P33)</f>
        <v>1517</v>
      </c>
      <c r="R33" s="20"/>
    </row>
    <row r="34" spans="1:18" customHeight="1" ht="19">
      <c r="A34" s="4">
        <v>92000347</v>
      </c>
      <c r="B34" s="5" t="s">
        <v>55</v>
      </c>
      <c r="C34" s="6" t="s">
        <v>19</v>
      </c>
      <c r="D34" s="11">
        <v>242</v>
      </c>
      <c r="E34" s="17">
        <v>22</v>
      </c>
      <c r="F34" s="15">
        <v>24</v>
      </c>
      <c r="G34" s="15">
        <v>0</v>
      </c>
      <c r="H34" s="15">
        <v>0</v>
      </c>
      <c r="I34" s="15">
        <v>0</v>
      </c>
      <c r="J34" s="15">
        <v>14</v>
      </c>
      <c r="K34" s="15">
        <v>0</v>
      </c>
      <c r="L34" s="18">
        <v>18</v>
      </c>
      <c r="M34" s="15">
        <v>15</v>
      </c>
      <c r="N34" s="15">
        <v>21</v>
      </c>
      <c r="O34" s="15">
        <v>0</v>
      </c>
      <c r="P34" s="15">
        <v>24</v>
      </c>
      <c r="Q34" s="22">
        <f>SUM(E34:P34)</f>
        <v>138</v>
      </c>
      <c r="R34" s="20"/>
    </row>
    <row r="35" spans="1:18" customHeight="1" ht="19">
      <c r="A35" s="4">
        <v>92003720</v>
      </c>
      <c r="B35" s="4" t="s">
        <v>56</v>
      </c>
      <c r="C35" s="7" t="s">
        <v>19</v>
      </c>
      <c r="D35" s="11">
        <v>227.060000000000002</v>
      </c>
      <c r="E35" s="17">
        <v>0</v>
      </c>
      <c r="F35" s="15">
        <v>752</v>
      </c>
      <c r="G35" s="15">
        <v>665</v>
      </c>
      <c r="H35" s="15">
        <v>864</v>
      </c>
      <c r="I35" s="15">
        <v>0</v>
      </c>
      <c r="J35" s="15">
        <v>2747</v>
      </c>
      <c r="K35" s="15">
        <v>35</v>
      </c>
      <c r="L35" s="18">
        <v>262</v>
      </c>
      <c r="M35" s="15">
        <v>322</v>
      </c>
      <c r="N35" s="15">
        <v>324</v>
      </c>
      <c r="O35" s="15">
        <v>785</v>
      </c>
      <c r="P35" s="15">
        <v>334</v>
      </c>
      <c r="Q35" s="22">
        <f>SUM(E35:P35)</f>
        <v>7090</v>
      </c>
      <c r="R35" s="20"/>
    </row>
    <row r="36" spans="1:18" customHeight="1" ht="19">
      <c r="A36" s="4">
        <v>92000809</v>
      </c>
      <c r="B36" s="4" t="s">
        <v>57</v>
      </c>
      <c r="C36" s="7" t="s">
        <v>52</v>
      </c>
      <c r="D36" s="12">
        <v>624</v>
      </c>
      <c r="E36" s="17">
        <v>17</v>
      </c>
      <c r="F36" s="15">
        <v>152</v>
      </c>
      <c r="G36" s="15">
        <v>22</v>
      </c>
      <c r="H36" s="15">
        <v>21</v>
      </c>
      <c r="I36" s="15">
        <v>0</v>
      </c>
      <c r="J36" s="15">
        <v>8</v>
      </c>
      <c r="K36" s="15">
        <v>12</v>
      </c>
      <c r="L36" s="18">
        <v>293</v>
      </c>
      <c r="M36" s="15">
        <v>0</v>
      </c>
      <c r="N36" s="15">
        <v>20</v>
      </c>
      <c r="O36" s="15">
        <v>19</v>
      </c>
      <c r="P36" s="15">
        <v>22</v>
      </c>
      <c r="Q36" s="22">
        <f>SUM(E36:P36)</f>
        <v>586</v>
      </c>
      <c r="R36" s="20"/>
    </row>
    <row r="37" spans="1:18" customHeight="1" ht="19">
      <c r="A37" s="4"/>
      <c r="B37" s="4" t="s">
        <v>58</v>
      </c>
      <c r="C37" s="7" t="s">
        <v>52</v>
      </c>
      <c r="D37" s="12">
        <v>552</v>
      </c>
      <c r="E37" s="17"/>
      <c r="F37" s="15"/>
      <c r="G37" s="15"/>
      <c r="H37" s="15"/>
      <c r="I37" s="15"/>
      <c r="J37" s="15"/>
      <c r="K37" s="15"/>
      <c r="L37" s="18"/>
      <c r="M37" s="15"/>
      <c r="N37" s="15"/>
      <c r="O37" s="15"/>
      <c r="P37" s="15"/>
      <c r="Q37" s="22"/>
      <c r="R37" s="20"/>
    </row>
    <row r="38" spans="1:18" customHeight="1" ht="19">
      <c r="A38" s="4">
        <v>92000860</v>
      </c>
      <c r="B38" s="5" t="s">
        <v>59</v>
      </c>
      <c r="C38" s="6" t="s">
        <v>19</v>
      </c>
      <c r="D38" s="12">
        <v>55</v>
      </c>
      <c r="E38" s="17">
        <v>314</v>
      </c>
      <c r="F38" s="15">
        <v>0</v>
      </c>
      <c r="G38" s="15">
        <v>114</v>
      </c>
      <c r="H38" s="15">
        <v>254</v>
      </c>
      <c r="I38" s="15">
        <v>124</v>
      </c>
      <c r="J38" s="15">
        <v>366</v>
      </c>
      <c r="K38" s="15">
        <v>244</v>
      </c>
      <c r="L38" s="18">
        <v>229</v>
      </c>
      <c r="M38" s="15">
        <v>246</v>
      </c>
      <c r="N38" s="15">
        <v>250</v>
      </c>
      <c r="O38" s="15">
        <v>217</v>
      </c>
      <c r="P38" s="15">
        <v>33</v>
      </c>
      <c r="Q38" s="22">
        <f>SUM(E38:P38)</f>
        <v>2391</v>
      </c>
      <c r="R38" s="20"/>
    </row>
    <row r="39" spans="1:18" customHeight="1" ht="19">
      <c r="A39" s="4"/>
      <c r="B39" s="5" t="s">
        <v>60</v>
      </c>
      <c r="C39" s="6" t="s">
        <v>61</v>
      </c>
      <c r="D39" s="12">
        <v>7557</v>
      </c>
      <c r="E39" s="17"/>
      <c r="F39" s="15"/>
      <c r="G39" s="15"/>
      <c r="H39" s="15"/>
      <c r="I39" s="15"/>
      <c r="J39" s="15"/>
      <c r="K39" s="15"/>
      <c r="L39" s="18"/>
      <c r="M39" s="15"/>
      <c r="N39" s="15"/>
      <c r="O39" s="15"/>
      <c r="P39" s="15"/>
      <c r="Q39" s="22"/>
      <c r="R39" s="20"/>
    </row>
    <row r="40" spans="1:18" customHeight="1" ht="19">
      <c r="A40" s="4">
        <v>92000731</v>
      </c>
      <c r="B40" s="5" t="s">
        <v>62</v>
      </c>
      <c r="C40" s="6" t="s">
        <v>29</v>
      </c>
      <c r="D40" s="12">
        <v>4680</v>
      </c>
      <c r="E40" s="17">
        <v>0</v>
      </c>
      <c r="F40" s="15">
        <v>0</v>
      </c>
      <c r="G40" s="15">
        <v>0</v>
      </c>
      <c r="H40" s="15">
        <v>0</v>
      </c>
      <c r="I40" s="15">
        <v>12</v>
      </c>
      <c r="J40" s="15">
        <v>12</v>
      </c>
      <c r="K40" s="15">
        <v>52</v>
      </c>
      <c r="L40" s="18">
        <v>104</v>
      </c>
      <c r="M40" s="15">
        <v>69</v>
      </c>
      <c r="N40" s="15">
        <v>89</v>
      </c>
      <c r="O40" s="15">
        <v>72</v>
      </c>
      <c r="P40" s="15">
        <v>79</v>
      </c>
      <c r="Q40" s="22">
        <f>SUM(E40:P40)</f>
        <v>489</v>
      </c>
      <c r="R40" s="20"/>
    </row>
    <row r="41" spans="1:18" customHeight="1" ht="19">
      <c r="A41" s="4"/>
      <c r="B41" s="5" t="s">
        <v>63</v>
      </c>
      <c r="C41" s="6" t="s">
        <v>19</v>
      </c>
      <c r="D41" s="12">
        <f>28572.51/100</f>
        <v>285.7251</v>
      </c>
      <c r="E41" s="17"/>
      <c r="F41" s="15"/>
      <c r="G41" s="15"/>
      <c r="H41" s="15"/>
      <c r="I41" s="15"/>
      <c r="J41" s="15"/>
      <c r="K41" s="15"/>
      <c r="L41" s="18"/>
      <c r="M41" s="15"/>
      <c r="N41" s="15"/>
      <c r="O41" s="15"/>
      <c r="P41" s="15"/>
      <c r="Q41" s="22"/>
      <c r="R41" s="20"/>
    </row>
    <row r="42" spans="1:18" customHeight="1" ht="19">
      <c r="A42" s="4">
        <v>92000201</v>
      </c>
      <c r="B42" s="4" t="s">
        <v>64</v>
      </c>
      <c r="C42" s="7" t="s">
        <v>19</v>
      </c>
      <c r="D42" s="12">
        <v>275</v>
      </c>
      <c r="E42" s="17">
        <v>421</v>
      </c>
      <c r="F42" s="15">
        <v>41</v>
      </c>
      <c r="G42" s="15">
        <v>121</v>
      </c>
      <c r="H42" s="15">
        <v>327</v>
      </c>
      <c r="I42" s="15">
        <v>112</v>
      </c>
      <c r="J42" s="15">
        <v>66</v>
      </c>
      <c r="K42" s="15">
        <v>168</v>
      </c>
      <c r="L42" s="18">
        <v>249</v>
      </c>
      <c r="M42" s="15">
        <v>30</v>
      </c>
      <c r="N42" s="15">
        <v>24</v>
      </c>
      <c r="O42" s="15">
        <v>349</v>
      </c>
      <c r="P42" s="15">
        <v>51</v>
      </c>
      <c r="Q42" s="22">
        <f>SUM(E42:P42)</f>
        <v>1959</v>
      </c>
      <c r="R42" s="20"/>
    </row>
    <row r="43" spans="1:18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3"/>
    </row>
    <row r="44" spans="1:18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3"/>
    </row>
    <row r="45" spans="1:18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3"/>
    </row>
    <row r="46" spans="1:18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3"/>
    </row>
    <row r="47" spans="1:18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3"/>
    </row>
    <row r="48" spans="1:18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3"/>
    </row>
    <row r="49" spans="1:18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3"/>
    </row>
    <row r="50" spans="1:18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3"/>
    </row>
    <row r="51" spans="1:18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3"/>
    </row>
    <row r="52" spans="1:18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3"/>
    </row>
    <row r="53" spans="1:18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3"/>
    </row>
    <row r="54" spans="1:18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3"/>
    </row>
    <row r="55" spans="1:18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3"/>
    </row>
    <row r="56" spans="1:18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3"/>
    </row>
    <row r="57" spans="1:18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3"/>
    </row>
    <row r="58" spans="1:18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3"/>
    </row>
    <row r="59" spans="1:18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3"/>
    </row>
    <row r="60" spans="1:18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3"/>
    </row>
    <row r="61" spans="1:18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3"/>
    </row>
    <row r="62" spans="1:18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3"/>
    </row>
    <row r="63" spans="1:18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3"/>
    </row>
    <row r="64" spans="1:18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3"/>
    </row>
    <row r="65" spans="1:18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3"/>
    </row>
    <row r="66" spans="1:18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3"/>
    </row>
    <row r="67" spans="1:18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3"/>
    </row>
    <row r="68" spans="1:18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3"/>
    </row>
    <row r="69" spans="1:18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3"/>
    </row>
    <row r="70" spans="1:18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3"/>
    </row>
    <row r="71" spans="1:18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3"/>
    </row>
    <row r="72" spans="1:18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3"/>
    </row>
    <row r="73" spans="1:18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3"/>
    </row>
    <row r="74" spans="1:18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3"/>
    </row>
    <row r="75" spans="1:18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3"/>
    </row>
    <row r="76" spans="1:18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3"/>
    </row>
    <row r="77" spans="1:18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3"/>
    </row>
    <row r="78" spans="1:18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3"/>
    </row>
    <row r="79" spans="1:18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3"/>
    </row>
    <row r="80" spans="1:18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3"/>
    </row>
    <row r="81" spans="1:18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3"/>
    </row>
    <row r="82" spans="1:18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3"/>
    </row>
    <row r="83" spans="1:18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3"/>
    </row>
    <row r="84" spans="1:18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3"/>
    </row>
    <row r="85" spans="1:18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3"/>
    </row>
    <row r="86" spans="1:18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3"/>
    </row>
    <row r="87" spans="1:18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3"/>
    </row>
    <row r="88" spans="1:18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3"/>
    </row>
    <row r="89" spans="1:18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3"/>
    </row>
    <row r="90" spans="1:18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3"/>
    </row>
    <row r="91" spans="1:18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3"/>
    </row>
    <row r="92" spans="1:18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3"/>
    </row>
    <row r="93" spans="1:18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3"/>
    </row>
    <row r="94" spans="1:18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3"/>
    </row>
    <row r="95" spans="1:18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3"/>
    </row>
    <row r="96" spans="1:18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3"/>
    </row>
    <row r="97" spans="1:18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3"/>
    </row>
    <row r="98" spans="1:18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3"/>
    </row>
    <row r="99" spans="1:18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3"/>
    </row>
    <row r="100" spans="1:18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3"/>
    </row>
  </sheetData>
  <autoFilter ref="A1:R1"/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workbookViewId="0" showGridLines="true" showRowColHeaders="1">
      <selection activeCell="A4" sqref="A4:C4"/>
    </sheetView>
  </sheetViews>
  <sheetFormatPr defaultRowHeight="14.4" defaultColWidth="8.83203125" outlineLevelRow="0" outlineLevelCol="0"/>
  <cols>
    <col min="1" max="1" width="22" customWidth="true" style="0"/>
    <col min="2" max="2" width="12" customWidth="true" style="0"/>
    <col min="3" max="3" width="70" customWidth="true" style="0"/>
  </cols>
  <sheetData>
    <row r="1" spans="1:3">
      <c r="A1" t="s">
        <v>65</v>
      </c>
    </row>
    <row r="2" spans="1:3">
      <c r="A2" t="s">
        <v>66</v>
      </c>
    </row>
    <row r="4" spans="1:3">
      <c r="A4" s="3" t="s">
        <v>67</v>
      </c>
      <c r="B4" s="3" t="s">
        <v>68</v>
      </c>
      <c r="C4" s="3" t="s">
        <v>69</v>
      </c>
    </row>
    <row r="5" spans="1:3">
      <c r="A5" t="s">
        <v>0</v>
      </c>
      <c r="B5" t="s">
        <v>70</v>
      </c>
      <c r="C5" t="s">
        <v>71</v>
      </c>
    </row>
    <row r="6" spans="1:3">
      <c r="A6" t="s">
        <v>1</v>
      </c>
      <c r="B6" t="s">
        <v>72</v>
      </c>
      <c r="C6" t="s">
        <v>73</v>
      </c>
    </row>
    <row r="7" spans="1:3">
      <c r="A7" t="s">
        <v>2</v>
      </c>
      <c r="B7" t="s">
        <v>72</v>
      </c>
      <c r="C7" t="s">
        <v>74</v>
      </c>
    </row>
    <row r="8" spans="1:3">
      <c r="A8" t="s">
        <v>3</v>
      </c>
      <c r="B8" t="s">
        <v>72</v>
      </c>
      <c r="C8" t="s">
        <v>75</v>
      </c>
    </row>
    <row r="9" spans="1:3">
      <c r="A9" t="s">
        <v>76</v>
      </c>
      <c r="B9" t="s">
        <v>77</v>
      </c>
      <c r="C9" t="s">
        <v>78</v>
      </c>
    </row>
    <row r="10" spans="1:3">
      <c r="A10" t="s">
        <v>16</v>
      </c>
      <c r="B10" t="s">
        <v>72</v>
      </c>
      <c r="C10" t="s">
        <v>79</v>
      </c>
    </row>
    <row r="11" spans="1:3">
      <c r="A11" t="s">
        <v>17</v>
      </c>
      <c r="B11" t="s">
        <v>72</v>
      </c>
      <c r="C11" t="s">
        <v>80</v>
      </c>
    </row>
    <row r="13" spans="1:3">
      <c r="A13" t="s">
        <v>81</v>
      </c>
    </row>
    <row r="14" spans="1:3">
      <c r="A14" t="s">
        <v>82</v>
      </c>
    </row>
    <row r="15" spans="1:3">
      <c r="A15" t="s">
        <v>83</v>
      </c>
    </row>
    <row r="16" spans="1:3">
      <c r="A16" t="s">
        <v>84</v>
      </c>
    </row>
    <row r="17" spans="1:3">
      <c r="A17" t="s">
        <v>85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Novi Winda Lutsina</cp:lastModifiedBy>
  <dcterms:created xsi:type="dcterms:W3CDTF">2026-08-28T00:05:17+00:00</dcterms:created>
  <dcterms:modified xsi:type="dcterms:W3CDTF">2026-08-29T02:09:01+00:00</dcterms:modified>
  <dc:title>Untitled Spreadsheet</dc:title>
  <dc:description/>
  <dc:subject/>
  <cp:keywords/>
  <cp:category/>
</cp:coreProperties>
</file>