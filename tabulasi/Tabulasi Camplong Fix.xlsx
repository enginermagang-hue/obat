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bdb4160d7acfc7/Dokumen/UGM/Tahap 1/LPLPO/Data Fix/"/>
    </mc:Choice>
  </mc:AlternateContent>
  <xr:revisionPtr revIDLastSave="11" documentId="8_{A1E5D3C0-8ABB-B04C-9C8D-FFB7AAA8E015}" xr6:coauthVersionLast="47" xr6:coauthVersionMax="47" xr10:uidLastSave="{3DBDFDAE-A901-3246-BC3E-C7678BE09DE2}"/>
  <bookViews>
    <workbookView xWindow="0" yWindow="0" windowWidth="28800" windowHeight="18000" xr2:uid="{B361B2BE-E788-EE4A-A5B6-DE6D4C1A0AB6}"/>
  </bookViews>
  <sheets>
    <sheet name="Camplo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22" i="1" l="1"/>
  <c r="CE27" i="1"/>
  <c r="CE30" i="1"/>
  <c r="BZ11" i="1" l="1"/>
  <c r="BZ4" i="1"/>
  <c r="BS5" i="1"/>
  <c r="BZ5" i="1" s="1"/>
  <c r="BS6" i="1"/>
  <c r="BZ6" i="1" s="1"/>
  <c r="BS7" i="1"/>
  <c r="BZ7" i="1" s="1"/>
  <c r="BS8" i="1"/>
  <c r="BZ8" i="1" s="1"/>
  <c r="BS9" i="1"/>
  <c r="BZ9" i="1" s="1"/>
  <c r="BS10" i="1"/>
  <c r="BZ10" i="1" s="1"/>
  <c r="BS11" i="1"/>
  <c r="BS12" i="1"/>
  <c r="BZ12" i="1" s="1"/>
  <c r="BS13" i="1"/>
  <c r="BZ13" i="1" s="1"/>
  <c r="BS14" i="1"/>
  <c r="BZ14" i="1" s="1"/>
  <c r="BS15" i="1"/>
  <c r="BZ15" i="1" s="1"/>
  <c r="BS16" i="1"/>
  <c r="BZ16" i="1" s="1"/>
  <c r="BS17" i="1"/>
  <c r="BZ17" i="1" s="1"/>
  <c r="BS18" i="1"/>
  <c r="BZ18" i="1" s="1"/>
  <c r="BS19" i="1"/>
  <c r="BZ19" i="1" s="1"/>
  <c r="BS20" i="1"/>
  <c r="BZ20" i="1" s="1"/>
  <c r="BS21" i="1"/>
  <c r="BZ21" i="1" s="1"/>
  <c r="BS22" i="1"/>
  <c r="BZ22" i="1" s="1"/>
  <c r="BS23" i="1"/>
  <c r="BZ23" i="1" s="1"/>
  <c r="BS24" i="1"/>
  <c r="BZ24" i="1" s="1"/>
  <c r="BS25" i="1"/>
  <c r="BZ25" i="1" s="1"/>
  <c r="BS26" i="1"/>
  <c r="BZ26" i="1" s="1"/>
  <c r="BS27" i="1"/>
  <c r="BZ27" i="1" s="1"/>
  <c r="BS28" i="1"/>
  <c r="BZ28" i="1" s="1"/>
  <c r="BS29" i="1"/>
  <c r="BZ29" i="1" s="1"/>
  <c r="BS30" i="1"/>
  <c r="BZ30" i="1" s="1"/>
  <c r="BS31" i="1"/>
  <c r="BZ31" i="1" s="1"/>
  <c r="BS32" i="1"/>
  <c r="BZ32" i="1" s="1"/>
  <c r="BS33" i="1"/>
  <c r="BZ33" i="1" s="1"/>
  <c r="BS34" i="1"/>
  <c r="BZ34" i="1" s="1"/>
  <c r="BS35" i="1"/>
  <c r="BZ35" i="1" s="1"/>
  <c r="BS36" i="1"/>
  <c r="BZ36" i="1" s="1"/>
  <c r="BS37" i="1"/>
  <c r="BZ37" i="1" s="1"/>
  <c r="BS38" i="1"/>
  <c r="BZ38" i="1" s="1"/>
  <c r="BS39" i="1"/>
  <c r="BZ39" i="1" s="1"/>
  <c r="BS40" i="1"/>
  <c r="BZ40" i="1" s="1"/>
  <c r="BS41" i="1"/>
  <c r="BZ41" i="1" s="1"/>
  <c r="BS42" i="1"/>
  <c r="BZ42" i="1" s="1"/>
  <c r="BS43" i="1"/>
  <c r="BZ43" i="1" s="1"/>
  <c r="BS44" i="1"/>
  <c r="BZ44" i="1" s="1"/>
  <c r="BS4" i="1"/>
  <c r="BO5" i="1"/>
  <c r="BO6" i="1"/>
  <c r="BO7" i="1"/>
  <c r="BO8" i="1"/>
  <c r="BO9" i="1"/>
  <c r="BO10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" i="1"/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" i="1"/>
  <c r="K4" i="1" s="1"/>
  <c r="O4" i="1" s="1"/>
  <c r="P4" i="1" s="1"/>
  <c r="T4" i="1" s="1"/>
  <c r="E17" i="1" l="1"/>
  <c r="K38" i="1" l="1"/>
  <c r="K39" i="1"/>
  <c r="K40" i="1"/>
  <c r="K41" i="1"/>
  <c r="K42" i="1"/>
  <c r="K43" i="1"/>
  <c r="K44" i="1"/>
  <c r="O44" i="1" l="1"/>
  <c r="P44" i="1" s="1"/>
  <c r="T44" i="1" s="1"/>
  <c r="O40" i="1"/>
  <c r="P40" i="1" s="1"/>
  <c r="T40" i="1" s="1"/>
  <c r="O43" i="1"/>
  <c r="P43" i="1" s="1"/>
  <c r="T43" i="1" s="1"/>
  <c r="O42" i="1"/>
  <c r="P42" i="1" s="1"/>
  <c r="T42" i="1" s="1"/>
  <c r="O41" i="1"/>
  <c r="P41" i="1" s="1"/>
  <c r="T41" i="1" s="1"/>
  <c r="O39" i="1"/>
  <c r="P39" i="1" s="1"/>
  <c r="T39" i="1" s="1"/>
  <c r="O38" i="1"/>
  <c r="P38" i="1" s="1"/>
  <c r="T38" i="1" s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" i="1"/>
  <c r="BP4" i="1" l="1"/>
  <c r="BQ4" i="1" s="1"/>
  <c r="BU4" i="1"/>
  <c r="BU5" i="1"/>
  <c r="BP5" i="1"/>
  <c r="BQ5" i="1" s="1"/>
  <c r="CD5" i="1" s="1"/>
  <c r="BU28" i="1"/>
  <c r="BP28" i="1"/>
  <c r="BQ28" i="1" s="1"/>
  <c r="BU12" i="1"/>
  <c r="BP12" i="1"/>
  <c r="BQ12" i="1" s="1"/>
  <c r="BP35" i="1"/>
  <c r="BQ35" i="1" s="1"/>
  <c r="BU35" i="1"/>
  <c r="BU11" i="1"/>
  <c r="BP11" i="1"/>
  <c r="BQ11" i="1" s="1"/>
  <c r="CD11" i="1" s="1"/>
  <c r="BP34" i="1"/>
  <c r="BQ34" i="1" s="1"/>
  <c r="BU34" i="1"/>
  <c r="CE34" i="1" s="1"/>
  <c r="BU10" i="1"/>
  <c r="BP10" i="1"/>
  <c r="BQ10" i="1" s="1"/>
  <c r="CD10" i="1" s="1"/>
  <c r="BU25" i="1"/>
  <c r="BP25" i="1"/>
  <c r="BQ25" i="1" s="1"/>
  <c r="CD25" i="1" s="1"/>
  <c r="BP24" i="1"/>
  <c r="BQ24" i="1" s="1"/>
  <c r="BU24" i="1"/>
  <c r="BP16" i="1"/>
  <c r="BQ16" i="1" s="1"/>
  <c r="BU16" i="1"/>
  <c r="BP8" i="1"/>
  <c r="BQ8" i="1" s="1"/>
  <c r="BU8" i="1"/>
  <c r="BP37" i="1"/>
  <c r="BQ37" i="1" s="1"/>
  <c r="BU37" i="1"/>
  <c r="BU21" i="1"/>
  <c r="BP21" i="1"/>
  <c r="BQ21" i="1" s="1"/>
  <c r="CD21" i="1" s="1"/>
  <c r="BU44" i="1"/>
  <c r="BP44" i="1"/>
  <c r="BQ44" i="1" s="1"/>
  <c r="BU20" i="1"/>
  <c r="BP20" i="1"/>
  <c r="BQ20" i="1" s="1"/>
  <c r="BU43" i="1"/>
  <c r="BP43" i="1"/>
  <c r="BQ43" i="1" s="1"/>
  <c r="CD43" i="1" s="1"/>
  <c r="BP19" i="1"/>
  <c r="BQ19" i="1" s="1"/>
  <c r="BU19" i="1"/>
  <c r="CE19" i="1" s="1"/>
  <c r="BP42" i="1"/>
  <c r="BQ42" i="1" s="1"/>
  <c r="BU42" i="1"/>
  <c r="BU33" i="1"/>
  <c r="CE33" i="1" s="1"/>
  <c r="BP33" i="1"/>
  <c r="BQ33" i="1" s="1"/>
  <c r="CD33" i="1" s="1"/>
  <c r="BP9" i="1"/>
  <c r="BQ9" i="1" s="1"/>
  <c r="BU9" i="1"/>
  <c r="BP32" i="1"/>
  <c r="BQ32" i="1" s="1"/>
  <c r="BU32" i="1"/>
  <c r="BP31" i="1"/>
  <c r="BQ31" i="1" s="1"/>
  <c r="BU31" i="1"/>
  <c r="BP23" i="1"/>
  <c r="BQ23" i="1" s="1"/>
  <c r="BU23" i="1"/>
  <c r="CE23" i="1" s="1"/>
  <c r="BP15" i="1"/>
  <c r="BQ15" i="1" s="1"/>
  <c r="BU15" i="1"/>
  <c r="BP7" i="1"/>
  <c r="BQ7" i="1" s="1"/>
  <c r="BU7" i="1"/>
  <c r="BP29" i="1"/>
  <c r="BQ29" i="1" s="1"/>
  <c r="BU29" i="1"/>
  <c r="BU13" i="1"/>
  <c r="BP13" i="1"/>
  <c r="BQ13" i="1" s="1"/>
  <c r="CD13" i="1" s="1"/>
  <c r="BU36" i="1"/>
  <c r="BP36" i="1"/>
  <c r="BQ36" i="1" s="1"/>
  <c r="BU27" i="1"/>
  <c r="BP27" i="1"/>
  <c r="BQ27" i="1" s="1"/>
  <c r="CD27" i="1" s="1"/>
  <c r="BP26" i="1"/>
  <c r="BQ26" i="1" s="1"/>
  <c r="BU26" i="1"/>
  <c r="BU18" i="1"/>
  <c r="CE18" i="1" s="1"/>
  <c r="BP18" i="1"/>
  <c r="BQ18" i="1" s="1"/>
  <c r="CD18" i="1" s="1"/>
  <c r="BP41" i="1"/>
  <c r="BQ41" i="1" s="1"/>
  <c r="BU41" i="1"/>
  <c r="BP17" i="1"/>
  <c r="BQ17" i="1" s="1"/>
  <c r="BU17" i="1"/>
  <c r="BP40" i="1"/>
  <c r="BQ40" i="1" s="1"/>
  <c r="BU40" i="1"/>
  <c r="BP39" i="1"/>
  <c r="BQ39" i="1" s="1"/>
  <c r="BU39" i="1"/>
  <c r="BP38" i="1"/>
  <c r="BQ38" i="1" s="1"/>
  <c r="CD38" i="1" s="1"/>
  <c r="BU38" i="1"/>
  <c r="BP30" i="1"/>
  <c r="BQ30" i="1" s="1"/>
  <c r="BU30" i="1"/>
  <c r="BP22" i="1"/>
  <c r="BQ22" i="1" s="1"/>
  <c r="BU22" i="1"/>
  <c r="BP14" i="1"/>
  <c r="BQ14" i="1" s="1"/>
  <c r="BU14" i="1"/>
  <c r="BP6" i="1"/>
  <c r="BQ6" i="1" s="1"/>
  <c r="BU6" i="1"/>
  <c r="BV28" i="1"/>
  <c r="BV27" i="1"/>
  <c r="BV22" i="1"/>
  <c r="BV21" i="1"/>
  <c r="BV16" i="1"/>
  <c r="BV41" i="1"/>
  <c r="BV34" i="1"/>
  <c r="BV35" i="1"/>
  <c r="BV29" i="1"/>
  <c r="BV40" i="1"/>
  <c r="BV33" i="1"/>
  <c r="BV26" i="1"/>
  <c r="BV20" i="1"/>
  <c r="BV39" i="1"/>
  <c r="BV32" i="1"/>
  <c r="BV25" i="1"/>
  <c r="BV19" i="1"/>
  <c r="BV38" i="1"/>
  <c r="BV31" i="1"/>
  <c r="BV15" i="1"/>
  <c r="BV44" i="1"/>
  <c r="BV37" i="1"/>
  <c r="BV24" i="1"/>
  <c r="BV18" i="1"/>
  <c r="BV43" i="1"/>
  <c r="BV36" i="1"/>
  <c r="BV30" i="1"/>
  <c r="BV23" i="1"/>
  <c r="BV17" i="1"/>
  <c r="CD8" i="1" l="1"/>
  <c r="CD14" i="1"/>
  <c r="CD23" i="1"/>
  <c r="CE26" i="1"/>
  <c r="CD16" i="1"/>
  <c r="CE16" i="1"/>
  <c r="CD26" i="1"/>
  <c r="CD42" i="1"/>
  <c r="CE44" i="1"/>
  <c r="CD44" i="1"/>
  <c r="CE28" i="1"/>
  <c r="CD28" i="1"/>
  <c r="CD7" i="1"/>
  <c r="CD24" i="1"/>
  <c r="CE24" i="1"/>
  <c r="CD17" i="1"/>
  <c r="CD19" i="1"/>
  <c r="CE21" i="1"/>
  <c r="CD40" i="1"/>
  <c r="CE40" i="1"/>
  <c r="CD32" i="1"/>
  <c r="CE32" i="1"/>
  <c r="CD30" i="1"/>
  <c r="CD6" i="1"/>
  <c r="CE38" i="1"/>
  <c r="CE41" i="1"/>
  <c r="CD41" i="1"/>
  <c r="CE15" i="1"/>
  <c r="CD9" i="1"/>
  <c r="CE37" i="1"/>
  <c r="CE35" i="1"/>
  <c r="CD4" i="1"/>
  <c r="CD39" i="1"/>
  <c r="CE39" i="1"/>
  <c r="CE20" i="1"/>
  <c r="CD20" i="1"/>
  <c r="CD12" i="1"/>
  <c r="CE29" i="1"/>
  <c r="CD29" i="1"/>
  <c r="CD31" i="1"/>
  <c r="CE31" i="1"/>
  <c r="CD22" i="1"/>
  <c r="CD34" i="1"/>
  <c r="CE17" i="1"/>
  <c r="CE36" i="1"/>
  <c r="CD36" i="1"/>
  <c r="CD15" i="1"/>
  <c r="CE43" i="1"/>
  <c r="CD37" i="1"/>
  <c r="CE25" i="1"/>
  <c r="CD35" i="1"/>
  <c r="K27" i="1"/>
  <c r="O27" i="1" l="1"/>
  <c r="P27" i="1" s="1"/>
  <c r="T27" i="1" s="1"/>
  <c r="U41" i="1"/>
  <c r="U4" i="1"/>
  <c r="Y4" i="1" s="1"/>
  <c r="Y41" i="1" l="1"/>
  <c r="Z41" i="1" s="1"/>
  <c r="Z4" i="1"/>
  <c r="K31" i="1"/>
  <c r="O31" i="1" l="1"/>
  <c r="P31" i="1" s="1"/>
  <c r="T31" i="1" s="1"/>
  <c r="AD4" i="1"/>
  <c r="AE4" i="1" s="1"/>
  <c r="AI4" i="1" s="1"/>
  <c r="AD41" i="1"/>
  <c r="AE41" i="1" s="1"/>
  <c r="AI41" i="1" s="1"/>
  <c r="U39" i="1"/>
  <c r="K36" i="1"/>
  <c r="O36" i="1" l="1"/>
  <c r="P36" i="1" s="1"/>
  <c r="T36" i="1" s="1"/>
  <c r="AJ41" i="1"/>
  <c r="AJ4" i="1"/>
  <c r="Y39" i="1"/>
  <c r="Z39" i="1" s="1"/>
  <c r="AD39" i="1" s="1"/>
  <c r="BV11" i="1"/>
  <c r="CE11" i="1" s="1"/>
  <c r="E43" i="1"/>
  <c r="K37" i="1"/>
  <c r="K7" i="1"/>
  <c r="K8" i="1"/>
  <c r="K9" i="1"/>
  <c r="K10" i="1"/>
  <c r="K11" i="1"/>
  <c r="K12" i="1"/>
  <c r="K13" i="1"/>
  <c r="K14" i="1"/>
  <c r="K15" i="1"/>
  <c r="K16" i="1"/>
  <c r="K17" i="1"/>
  <c r="K18" i="1"/>
  <c r="O18" i="1" s="1"/>
  <c r="P18" i="1" s="1"/>
  <c r="T18" i="1" s="1"/>
  <c r="K19" i="1"/>
  <c r="K20" i="1"/>
  <c r="K21" i="1"/>
  <c r="K22" i="1"/>
  <c r="K23" i="1"/>
  <c r="K25" i="1"/>
  <c r="K26" i="1"/>
  <c r="K28" i="1"/>
  <c r="K29" i="1"/>
  <c r="K30" i="1"/>
  <c r="K32" i="1"/>
  <c r="K33" i="1"/>
  <c r="K34" i="1"/>
  <c r="K35" i="1"/>
  <c r="K24" i="1"/>
  <c r="E14" i="1"/>
  <c r="E12" i="1"/>
  <c r="O24" i="1" l="1"/>
  <c r="P24" i="1" s="1"/>
  <c r="T24" i="1" s="1"/>
  <c r="O29" i="1"/>
  <c r="P29" i="1" s="1"/>
  <c r="T29" i="1" s="1"/>
  <c r="O21" i="1"/>
  <c r="P21" i="1" s="1"/>
  <c r="T21" i="1" s="1"/>
  <c r="U21" i="1" s="1"/>
  <c r="O11" i="1"/>
  <c r="P11" i="1" s="1"/>
  <c r="T11" i="1" s="1"/>
  <c r="U11" i="1" s="1"/>
  <c r="O19" i="1"/>
  <c r="P19" i="1" s="1"/>
  <c r="T19" i="1" s="1"/>
  <c r="U19" i="1" s="1"/>
  <c r="O9" i="1"/>
  <c r="P9" i="1" s="1"/>
  <c r="T9" i="1" s="1"/>
  <c r="U9" i="1" s="1"/>
  <c r="O34" i="1"/>
  <c r="O33" i="1"/>
  <c r="P33" i="1" s="1"/>
  <c r="T33" i="1" s="1"/>
  <c r="O17" i="1"/>
  <c r="P17" i="1" s="1"/>
  <c r="T17" i="1" s="1"/>
  <c r="O32" i="1"/>
  <c r="P32" i="1" s="1"/>
  <c r="T32" i="1" s="1"/>
  <c r="O23" i="1"/>
  <c r="P23" i="1" s="1"/>
  <c r="T23" i="1" s="1"/>
  <c r="U23" i="1" s="1"/>
  <c r="O13" i="1"/>
  <c r="P13" i="1" s="1"/>
  <c r="T13" i="1" s="1"/>
  <c r="U13" i="1" s="1"/>
  <c r="O37" i="1"/>
  <c r="P37" i="1" s="1"/>
  <c r="T37" i="1" s="1"/>
  <c r="O35" i="1"/>
  <c r="P35" i="1" s="1"/>
  <c r="T35" i="1" s="1"/>
  <c r="O20" i="1"/>
  <c r="P20" i="1" s="1"/>
  <c r="T20" i="1" s="1"/>
  <c r="U20" i="1" s="1"/>
  <c r="O26" i="1"/>
  <c r="P26" i="1" s="1"/>
  <c r="T26" i="1" s="1"/>
  <c r="U26" i="1" s="1"/>
  <c r="O25" i="1"/>
  <c r="P25" i="1" s="1"/>
  <c r="T25" i="1" s="1"/>
  <c r="U25" i="1" s="1"/>
  <c r="O8" i="1"/>
  <c r="P8" i="1" s="1"/>
  <c r="T8" i="1" s="1"/>
  <c r="U8" i="1" s="1"/>
  <c r="O14" i="1"/>
  <c r="P14" i="1" s="1"/>
  <c r="T14" i="1" s="1"/>
  <c r="U14" i="1" s="1"/>
  <c r="O7" i="1"/>
  <c r="P7" i="1" s="1"/>
  <c r="T7" i="1" s="1"/>
  <c r="U7" i="1" s="1"/>
  <c r="O28" i="1"/>
  <c r="P28" i="1" s="1"/>
  <c r="T28" i="1" s="1"/>
  <c r="O10" i="1"/>
  <c r="P10" i="1" s="1"/>
  <c r="T10" i="1" s="1"/>
  <c r="U10" i="1" s="1"/>
  <c r="O15" i="1"/>
  <c r="P15" i="1" s="1"/>
  <c r="T15" i="1" s="1"/>
  <c r="U15" i="1" s="1"/>
  <c r="O16" i="1"/>
  <c r="P16" i="1" s="1"/>
  <c r="T16" i="1" s="1"/>
  <c r="U16" i="1" s="1"/>
  <c r="O30" i="1"/>
  <c r="P30" i="1" s="1"/>
  <c r="T30" i="1" s="1"/>
  <c r="O22" i="1"/>
  <c r="P22" i="1" s="1"/>
  <c r="T22" i="1" s="1"/>
  <c r="U22" i="1" s="1"/>
  <c r="O12" i="1"/>
  <c r="P12" i="1" s="1"/>
  <c r="T12" i="1" s="1"/>
  <c r="U12" i="1" s="1"/>
  <c r="AN41" i="1"/>
  <c r="AO41" i="1" s="1"/>
  <c r="AN4" i="1"/>
  <c r="AO4" i="1" s="1"/>
  <c r="AS4" i="1" s="1"/>
  <c r="AE39" i="1"/>
  <c r="BV10" i="1"/>
  <c r="CE10" i="1" s="1"/>
  <c r="BV42" i="1"/>
  <c r="CE42" i="1" s="1"/>
  <c r="U38" i="1"/>
  <c r="U31" i="1"/>
  <c r="U17" i="1"/>
  <c r="U24" i="1"/>
  <c r="U27" i="1"/>
  <c r="U18" i="1"/>
  <c r="P34" i="1" l="1"/>
  <c r="AS41" i="1"/>
  <c r="AT41" i="1" s="1"/>
  <c r="AT4" i="1"/>
  <c r="AI39" i="1"/>
  <c r="AJ39" i="1" s="1"/>
  <c r="AN39" i="1" s="1"/>
  <c r="Y18" i="1"/>
  <c r="Z18" i="1" s="1"/>
  <c r="AD18" i="1" s="1"/>
  <c r="Y26" i="1"/>
  <c r="Z26" i="1" s="1"/>
  <c r="AD26" i="1" s="1"/>
  <c r="Y19" i="1"/>
  <c r="Z19" i="1" s="1"/>
  <c r="Y23" i="1"/>
  <c r="Z23" i="1" s="1"/>
  <c r="AD23" i="1" s="1"/>
  <c r="Y15" i="1"/>
  <c r="Z15" i="1" s="1"/>
  <c r="AD15" i="1" s="1"/>
  <c r="Y25" i="1"/>
  <c r="Z25" i="1" s="1"/>
  <c r="Y38" i="1"/>
  <c r="Z38" i="1" s="1"/>
  <c r="AD38" i="1" s="1"/>
  <c r="Y24" i="1"/>
  <c r="Z24" i="1" s="1"/>
  <c r="AD24" i="1" s="1"/>
  <c r="Y16" i="1"/>
  <c r="Z16" i="1" s="1"/>
  <c r="Y31" i="1"/>
  <c r="Z31" i="1" s="1"/>
  <c r="AD31" i="1" s="1"/>
  <c r="Y20" i="1"/>
  <c r="Z20" i="1" s="1"/>
  <c r="AD20" i="1" s="1"/>
  <c r="Y17" i="1"/>
  <c r="Z17" i="1" s="1"/>
  <c r="AD17" i="1" s="1"/>
  <c r="Y13" i="1"/>
  <c r="Z13" i="1" s="1"/>
  <c r="AD13" i="1" s="1"/>
  <c r="Y21" i="1"/>
  <c r="Z21" i="1" s="1"/>
  <c r="AD21" i="1" s="1"/>
  <c r="Y9" i="1"/>
  <c r="Z9" i="1" s="1"/>
  <c r="AD9" i="1" s="1"/>
  <c r="Y22" i="1"/>
  <c r="Z22" i="1" s="1"/>
  <c r="AD22" i="1" s="1"/>
  <c r="Y12" i="1"/>
  <c r="Z12" i="1" s="1"/>
  <c r="AD12" i="1" s="1"/>
  <c r="Y7" i="1"/>
  <c r="Z7" i="1" s="1"/>
  <c r="AD7" i="1" s="1"/>
  <c r="Y27" i="1"/>
  <c r="Z27" i="1" s="1"/>
  <c r="AD27" i="1" s="1"/>
  <c r="Y10" i="1"/>
  <c r="Z10" i="1" s="1"/>
  <c r="AD10" i="1" s="1"/>
  <c r="Y11" i="1"/>
  <c r="Z11" i="1" s="1"/>
  <c r="AD11" i="1" s="1"/>
  <c r="Y14" i="1"/>
  <c r="Z14" i="1" s="1"/>
  <c r="AD14" i="1" s="1"/>
  <c r="AE14" i="1" s="1"/>
  <c r="AI14" i="1" s="1"/>
  <c r="Y8" i="1"/>
  <c r="Z8" i="1" s="1"/>
  <c r="AD8" i="1" s="1"/>
  <c r="U30" i="1"/>
  <c r="BV9" i="1"/>
  <c r="CE9" i="1" s="1"/>
  <c r="U29" i="1"/>
  <c r="U36" i="1"/>
  <c r="BV8" i="1" l="1"/>
  <c r="CE8" i="1" s="1"/>
  <c r="AX41" i="1"/>
  <c r="AY41" i="1" s="1"/>
  <c r="BC41" i="1" s="1"/>
  <c r="BD41" i="1" s="1"/>
  <c r="BH41" i="1" s="1"/>
  <c r="BI41" i="1" s="1"/>
  <c r="BM41" i="1" s="1"/>
  <c r="AD19" i="1"/>
  <c r="AE19" i="1" s="1"/>
  <c r="AD16" i="1"/>
  <c r="AE16" i="1" s="1"/>
  <c r="T34" i="1"/>
  <c r="U34" i="1" s="1"/>
  <c r="AD25" i="1"/>
  <c r="AE25" i="1" s="1"/>
  <c r="AX4" i="1"/>
  <c r="AY4" i="1" s="1"/>
  <c r="BC4" i="1" s="1"/>
  <c r="BD4" i="1" s="1"/>
  <c r="AO39" i="1"/>
  <c r="AE23" i="1"/>
  <c r="AE21" i="1"/>
  <c r="AE27" i="1"/>
  <c r="AE24" i="1"/>
  <c r="AE38" i="1"/>
  <c r="AE17" i="1"/>
  <c r="AJ14" i="1"/>
  <c r="AE15" i="1"/>
  <c r="AE11" i="1"/>
  <c r="AE10" i="1"/>
  <c r="AE31" i="1"/>
  <c r="AE7" i="1"/>
  <c r="AE12" i="1"/>
  <c r="AE13" i="1"/>
  <c r="AE26" i="1"/>
  <c r="AE22" i="1"/>
  <c r="AE9" i="1"/>
  <c r="AE20" i="1"/>
  <c r="AE18" i="1"/>
  <c r="Y36" i="1"/>
  <c r="Z36" i="1" s="1"/>
  <c r="AD36" i="1" s="1"/>
  <c r="Y30" i="1"/>
  <c r="Z30" i="1" s="1"/>
  <c r="AD30" i="1" s="1"/>
  <c r="Y29" i="1"/>
  <c r="Z29" i="1" s="1"/>
  <c r="AE8" i="1"/>
  <c r="BV4" i="1"/>
  <c r="CE4" i="1" s="1"/>
  <c r="BV5" i="1"/>
  <c r="CE5" i="1" s="1"/>
  <c r="BV7" i="1"/>
  <c r="CE7" i="1" s="1"/>
  <c r="BV12" i="1"/>
  <c r="CE12" i="1" s="1"/>
  <c r="BV6" i="1"/>
  <c r="CE6" i="1" s="1"/>
  <c r="BV14" i="1"/>
  <c r="CE14" i="1" s="1"/>
  <c r="U28" i="1"/>
  <c r="U33" i="1"/>
  <c r="U32" i="1"/>
  <c r="U44" i="1"/>
  <c r="U37" i="1"/>
  <c r="U43" i="1"/>
  <c r="U40" i="1"/>
  <c r="U35" i="1"/>
  <c r="K5" i="1"/>
  <c r="BN41" i="1" l="1"/>
  <c r="O5" i="1"/>
  <c r="P5" i="1" s="1"/>
  <c r="T5" i="1" s="1"/>
  <c r="BH4" i="1"/>
  <c r="BI4" i="1" s="1"/>
  <c r="AS39" i="1"/>
  <c r="AT39" i="1" s="1"/>
  <c r="AX39" i="1" s="1"/>
  <c r="AY39" i="1" s="1"/>
  <c r="BC39" i="1" s="1"/>
  <c r="BD39" i="1" s="1"/>
  <c r="BH39" i="1" s="1"/>
  <c r="BI39" i="1" s="1"/>
  <c r="BM39" i="1" s="1"/>
  <c r="AN14" i="1"/>
  <c r="AO14" i="1" s="1"/>
  <c r="AI8" i="1"/>
  <c r="AJ8" i="1" s="1"/>
  <c r="AN8" i="1" s="1"/>
  <c r="AI20" i="1"/>
  <c r="AJ20" i="1" s="1"/>
  <c r="AN20" i="1" s="1"/>
  <c r="AI12" i="1"/>
  <c r="AJ12" i="1" s="1"/>
  <c r="AN12" i="1" s="1"/>
  <c r="AI15" i="1"/>
  <c r="AJ15" i="1" s="1"/>
  <c r="AI21" i="1"/>
  <c r="AJ21" i="1" s="1"/>
  <c r="AN21" i="1" s="1"/>
  <c r="AI16" i="1"/>
  <c r="AJ16" i="1" s="1"/>
  <c r="AN16" i="1" s="1"/>
  <c r="AI38" i="1"/>
  <c r="AJ38" i="1" s="1"/>
  <c r="AI18" i="1"/>
  <c r="AJ18" i="1" s="1"/>
  <c r="AN18" i="1" s="1"/>
  <c r="AI19" i="1"/>
  <c r="AJ19" i="1" s="1"/>
  <c r="AN19" i="1" s="1"/>
  <c r="AI9" i="1"/>
  <c r="AJ9" i="1" s="1"/>
  <c r="AN9" i="1" s="1"/>
  <c r="AI7" i="1"/>
  <c r="AJ7" i="1" s="1"/>
  <c r="AN7" i="1" s="1"/>
  <c r="AI17" i="1"/>
  <c r="AJ17" i="1" s="1"/>
  <c r="AN17" i="1" s="1"/>
  <c r="AI25" i="1"/>
  <c r="AJ25" i="1" s="1"/>
  <c r="AN25" i="1" s="1"/>
  <c r="AI31" i="1"/>
  <c r="AJ31" i="1" s="1"/>
  <c r="AN31" i="1" s="1"/>
  <c r="AI23" i="1"/>
  <c r="AJ23" i="1" s="1"/>
  <c r="AN23" i="1" s="1"/>
  <c r="AI22" i="1"/>
  <c r="AJ22" i="1" s="1"/>
  <c r="AI10" i="1"/>
  <c r="AJ10" i="1" s="1"/>
  <c r="AI24" i="1"/>
  <c r="AJ24" i="1" s="1"/>
  <c r="AI26" i="1"/>
  <c r="AJ26" i="1" s="1"/>
  <c r="AI13" i="1"/>
  <c r="AJ13" i="1" s="1"/>
  <c r="AN13" i="1" s="1"/>
  <c r="AI11" i="1"/>
  <c r="AJ11" i="1" s="1"/>
  <c r="AN11" i="1" s="1"/>
  <c r="AI27" i="1"/>
  <c r="AJ27" i="1" s="1"/>
  <c r="AD29" i="1"/>
  <c r="AE29" i="1" s="1"/>
  <c r="AI29" i="1" s="1"/>
  <c r="AE36" i="1"/>
  <c r="AE30" i="1"/>
  <c r="Y43" i="1"/>
  <c r="Z43" i="1" s="1"/>
  <c r="AD43" i="1" s="1"/>
  <c r="Y37" i="1"/>
  <c r="Z37" i="1" s="1"/>
  <c r="AD37" i="1" s="1"/>
  <c r="Y33" i="1"/>
  <c r="Z33" i="1" s="1"/>
  <c r="AD33" i="1" s="1"/>
  <c r="Y44" i="1"/>
  <c r="Z44" i="1" s="1"/>
  <c r="AD44" i="1" s="1"/>
  <c r="Y32" i="1"/>
  <c r="Z32" i="1" s="1"/>
  <c r="AD32" i="1" s="1"/>
  <c r="Y35" i="1"/>
  <c r="Z35" i="1" s="1"/>
  <c r="AD35" i="1" s="1"/>
  <c r="Y40" i="1"/>
  <c r="Z40" i="1" s="1"/>
  <c r="AD40" i="1" s="1"/>
  <c r="Y28" i="1"/>
  <c r="Z28" i="1" s="1"/>
  <c r="AD28" i="1" s="1"/>
  <c r="Y34" i="1"/>
  <c r="Z34" i="1" s="1"/>
  <c r="AD34" i="1" s="1"/>
  <c r="BV13" i="1"/>
  <c r="CE13" i="1" s="1"/>
  <c r="U42" i="1"/>
  <c r="U5" i="1"/>
  <c r="AN38" i="1" l="1"/>
  <c r="AO38" i="1" s="1"/>
  <c r="AN10" i="1"/>
  <c r="AO10" i="1" s="1"/>
  <c r="AN24" i="1"/>
  <c r="AO24" i="1" s="1"/>
  <c r="CG41" i="1"/>
  <c r="BT41" i="1"/>
  <c r="BN39" i="1"/>
  <c r="AS14" i="1"/>
  <c r="AT14" i="1" s="1"/>
  <c r="AX14" i="1" s="1"/>
  <c r="AY14" i="1" s="1"/>
  <c r="BC14" i="1" s="1"/>
  <c r="BD14" i="1" s="1"/>
  <c r="BH14" i="1" s="1"/>
  <c r="BI14" i="1" s="1"/>
  <c r="BM14" i="1" s="1"/>
  <c r="BM4" i="1"/>
  <c r="BN4" i="1"/>
  <c r="AN26" i="1"/>
  <c r="AO26" i="1" s="1"/>
  <c r="AS26" i="1" s="1"/>
  <c r="AN27" i="1"/>
  <c r="AO27" i="1" s="1"/>
  <c r="AS27" i="1" s="1"/>
  <c r="AN15" i="1"/>
  <c r="AO15" i="1" s="1"/>
  <c r="AS15" i="1" s="1"/>
  <c r="AN22" i="1"/>
  <c r="AO22" i="1" s="1"/>
  <c r="AS22" i="1" s="1"/>
  <c r="AO17" i="1"/>
  <c r="AO19" i="1"/>
  <c r="AO11" i="1"/>
  <c r="AO13" i="1"/>
  <c r="AO18" i="1"/>
  <c r="AO25" i="1"/>
  <c r="AO12" i="1"/>
  <c r="AO7" i="1"/>
  <c r="AO23" i="1"/>
  <c r="AO31" i="1"/>
  <c r="AO20" i="1"/>
  <c r="AO21" i="1"/>
  <c r="AO16" i="1"/>
  <c r="AO8" i="1"/>
  <c r="AO9" i="1"/>
  <c r="AI30" i="1"/>
  <c r="AJ30" i="1" s="1"/>
  <c r="AI36" i="1"/>
  <c r="AJ36" i="1" s="1"/>
  <c r="AN36" i="1" s="1"/>
  <c r="AJ29" i="1"/>
  <c r="AE32" i="1"/>
  <c r="AE43" i="1"/>
  <c r="AE33" i="1"/>
  <c r="AE44" i="1"/>
  <c r="AE40" i="1"/>
  <c r="AE28" i="1"/>
  <c r="AE35" i="1"/>
  <c r="AE37" i="1"/>
  <c r="Y42" i="1"/>
  <c r="Z42" i="1" s="1"/>
  <c r="AD42" i="1" s="1"/>
  <c r="Y5" i="1"/>
  <c r="Z5" i="1" s="1"/>
  <c r="AE34" i="1"/>
  <c r="K6" i="1"/>
  <c r="O6" i="1" l="1"/>
  <c r="P6" i="1" s="1"/>
  <c r="T6" i="1" s="1"/>
  <c r="U6" i="1" s="1"/>
  <c r="AN30" i="1"/>
  <c r="AO30" i="1" s="1"/>
  <c r="BN14" i="1"/>
  <c r="CG4" i="1"/>
  <c r="BT4" i="1"/>
  <c r="AS9" i="1"/>
  <c r="AT9" i="1" s="1"/>
  <c r="AS7" i="1"/>
  <c r="AT7" i="1" s="1"/>
  <c r="AX7" i="1" s="1"/>
  <c r="AY7" i="1" s="1"/>
  <c r="BC7" i="1" s="1"/>
  <c r="BD7" i="1" s="1"/>
  <c r="BH7" i="1" s="1"/>
  <c r="BI7" i="1" s="1"/>
  <c r="BM7" i="1" s="1"/>
  <c r="AS21" i="1"/>
  <c r="AT21" i="1" s="1"/>
  <c r="AS20" i="1"/>
  <c r="AT20" i="1" s="1"/>
  <c r="AX20" i="1" s="1"/>
  <c r="AY20" i="1" s="1"/>
  <c r="BC20" i="1" s="1"/>
  <c r="BD20" i="1" s="1"/>
  <c r="BH20" i="1" s="1"/>
  <c r="BI20" i="1" s="1"/>
  <c r="BM20" i="1" s="1"/>
  <c r="AS25" i="1"/>
  <c r="AT25" i="1" s="1"/>
  <c r="AS16" i="1"/>
  <c r="AT16" i="1" s="1"/>
  <c r="AX16" i="1" s="1"/>
  <c r="AY16" i="1" s="1"/>
  <c r="BC16" i="1" s="1"/>
  <c r="BD16" i="1" s="1"/>
  <c r="BH16" i="1" s="1"/>
  <c r="BI16" i="1" s="1"/>
  <c r="BM16" i="1" s="1"/>
  <c r="AS18" i="1"/>
  <c r="AT18" i="1" s="1"/>
  <c r="AS8" i="1"/>
  <c r="AT8" i="1" s="1"/>
  <c r="AX8" i="1" s="1"/>
  <c r="AY8" i="1" s="1"/>
  <c r="BC8" i="1" s="1"/>
  <c r="BD8" i="1" s="1"/>
  <c r="BH8" i="1" s="1"/>
  <c r="BI8" i="1" s="1"/>
  <c r="BM8" i="1" s="1"/>
  <c r="AS24" i="1"/>
  <c r="AT24" i="1" s="1"/>
  <c r="AX24" i="1" s="1"/>
  <c r="AY24" i="1" s="1"/>
  <c r="BC24" i="1" s="1"/>
  <c r="BD24" i="1" s="1"/>
  <c r="BH24" i="1" s="1"/>
  <c r="BI24" i="1" s="1"/>
  <c r="BM24" i="1" s="1"/>
  <c r="AS17" i="1"/>
  <c r="AT17" i="1" s="1"/>
  <c r="AX17" i="1" s="1"/>
  <c r="AY17" i="1" s="1"/>
  <c r="BC17" i="1" s="1"/>
  <c r="BD17" i="1" s="1"/>
  <c r="BH17" i="1" s="1"/>
  <c r="BI17" i="1" s="1"/>
  <c r="BM17" i="1" s="1"/>
  <c r="AS38" i="1"/>
  <c r="AT38" i="1" s="1"/>
  <c r="AX38" i="1" s="1"/>
  <c r="AY38" i="1" s="1"/>
  <c r="BC38" i="1" s="1"/>
  <c r="BD38" i="1" s="1"/>
  <c r="BH38" i="1" s="1"/>
  <c r="BI38" i="1" s="1"/>
  <c r="BM38" i="1" s="1"/>
  <c r="AS23" i="1"/>
  <c r="AT23" i="1" s="1"/>
  <c r="AX23" i="1" s="1"/>
  <c r="AY23" i="1" s="1"/>
  <c r="BC23" i="1" s="1"/>
  <c r="BD23" i="1" s="1"/>
  <c r="BH23" i="1" s="1"/>
  <c r="BI23" i="1" s="1"/>
  <c r="BM23" i="1" s="1"/>
  <c r="AS13" i="1"/>
  <c r="AT13" i="1" s="1"/>
  <c r="AX13" i="1" s="1"/>
  <c r="AY13" i="1" s="1"/>
  <c r="BC13" i="1" s="1"/>
  <c r="BD13" i="1" s="1"/>
  <c r="BH13" i="1" s="1"/>
  <c r="BI13" i="1" s="1"/>
  <c r="BM13" i="1" s="1"/>
  <c r="CG39" i="1"/>
  <c r="BT39" i="1"/>
  <c r="AS10" i="1"/>
  <c r="AT10" i="1" s="1"/>
  <c r="AX10" i="1" s="1"/>
  <c r="AY10" i="1" s="1"/>
  <c r="BC10" i="1" s="1"/>
  <c r="BD10" i="1" s="1"/>
  <c r="BH10" i="1" s="1"/>
  <c r="BI10" i="1" s="1"/>
  <c r="BM10" i="1" s="1"/>
  <c r="AS19" i="1"/>
  <c r="AT19" i="1" s="1"/>
  <c r="AS12" i="1"/>
  <c r="AT12" i="1" s="1"/>
  <c r="AX12" i="1" s="1"/>
  <c r="AY12" i="1" s="1"/>
  <c r="BC12" i="1" s="1"/>
  <c r="BD12" i="1" s="1"/>
  <c r="BH12" i="1" s="1"/>
  <c r="BI12" i="1" s="1"/>
  <c r="BM12" i="1" s="1"/>
  <c r="AS31" i="1"/>
  <c r="AT31" i="1" s="1"/>
  <c r="AX31" i="1" s="1"/>
  <c r="AY31" i="1" s="1"/>
  <c r="BC31" i="1" s="1"/>
  <c r="BD31" i="1" s="1"/>
  <c r="BH31" i="1" s="1"/>
  <c r="BI31" i="1" s="1"/>
  <c r="BM31" i="1" s="1"/>
  <c r="AS11" i="1"/>
  <c r="AT11" i="1" s="1"/>
  <c r="AX11" i="1" s="1"/>
  <c r="AY11" i="1" s="1"/>
  <c r="BC11" i="1" s="1"/>
  <c r="BD11" i="1" s="1"/>
  <c r="BH11" i="1" s="1"/>
  <c r="BI11" i="1" s="1"/>
  <c r="BM11" i="1" s="1"/>
  <c r="AT15" i="1"/>
  <c r="AX15" i="1" s="1"/>
  <c r="AY15" i="1" s="1"/>
  <c r="BC15" i="1" s="1"/>
  <c r="BD15" i="1" s="1"/>
  <c r="BH15" i="1" s="1"/>
  <c r="BI15" i="1" s="1"/>
  <c r="BM15" i="1" s="1"/>
  <c r="AT27" i="1"/>
  <c r="AT22" i="1"/>
  <c r="AT26" i="1"/>
  <c r="AX26" i="1" s="1"/>
  <c r="AY26" i="1" s="1"/>
  <c r="BC26" i="1" s="1"/>
  <c r="BD26" i="1" s="1"/>
  <c r="BH26" i="1" s="1"/>
  <c r="BI26" i="1" s="1"/>
  <c r="BM26" i="1" s="1"/>
  <c r="AN29" i="1"/>
  <c r="AO29" i="1" s="1"/>
  <c r="AS29" i="1" s="1"/>
  <c r="AO36" i="1"/>
  <c r="AI44" i="1"/>
  <c r="AJ44" i="1" s="1"/>
  <c r="AI32" i="1"/>
  <c r="AJ32" i="1" s="1"/>
  <c r="AN32" i="1" s="1"/>
  <c r="AI34" i="1"/>
  <c r="AJ34" i="1" s="1"/>
  <c r="AI33" i="1"/>
  <c r="AJ33" i="1" s="1"/>
  <c r="AN33" i="1" s="1"/>
  <c r="AI37" i="1"/>
  <c r="AJ37" i="1" s="1"/>
  <c r="AI35" i="1"/>
  <c r="AJ35" i="1" s="1"/>
  <c r="AI28" i="1"/>
  <c r="AJ28" i="1" s="1"/>
  <c r="AN28" i="1" s="1"/>
  <c r="AI43" i="1"/>
  <c r="AJ43" i="1" s="1"/>
  <c r="AN43" i="1" s="1"/>
  <c r="AI40" i="1"/>
  <c r="AJ40" i="1" s="1"/>
  <c r="AN40" i="1" s="1"/>
  <c r="AD5" i="1"/>
  <c r="AE5" i="1" s="1"/>
  <c r="AI5" i="1" s="1"/>
  <c r="AE42" i="1"/>
  <c r="BN12" i="1" l="1"/>
  <c r="BN38" i="1"/>
  <c r="BN31" i="1"/>
  <c r="BN17" i="1"/>
  <c r="BN23" i="1"/>
  <c r="AN44" i="1"/>
  <c r="AO44" i="1" s="1"/>
  <c r="AX19" i="1"/>
  <c r="AY19" i="1" s="1"/>
  <c r="BC19" i="1" s="1"/>
  <c r="BD19" i="1" s="1"/>
  <c r="BH19" i="1" s="1"/>
  <c r="BI19" i="1" s="1"/>
  <c r="BM19" i="1" s="1"/>
  <c r="BN26" i="1"/>
  <c r="BT26" i="1" s="1"/>
  <c r="BN15" i="1"/>
  <c r="BN20" i="1"/>
  <c r="BN10" i="1"/>
  <c r="AX21" i="1"/>
  <c r="AY21" i="1" s="1"/>
  <c r="BC21" i="1" s="1"/>
  <c r="BD21" i="1" s="1"/>
  <c r="BH21" i="1" s="1"/>
  <c r="BI21" i="1" s="1"/>
  <c r="BM21" i="1" s="1"/>
  <c r="BN11" i="1"/>
  <c r="BN16" i="1"/>
  <c r="BN13" i="1"/>
  <c r="CG13" i="1" s="1"/>
  <c r="AX25" i="1"/>
  <c r="AY25" i="1" s="1"/>
  <c r="BC25" i="1" s="1"/>
  <c r="BD25" i="1" s="1"/>
  <c r="BH25" i="1" s="1"/>
  <c r="BI25" i="1" s="1"/>
  <c r="BM25" i="1" s="1"/>
  <c r="BN24" i="1"/>
  <c r="BN8" i="1"/>
  <c r="CG8" i="1" s="1"/>
  <c r="AX27" i="1"/>
  <c r="AY27" i="1" s="1"/>
  <c r="BC27" i="1" s="1"/>
  <c r="BD27" i="1" s="1"/>
  <c r="BH27" i="1" s="1"/>
  <c r="BI27" i="1" s="1"/>
  <c r="BM27" i="1" s="1"/>
  <c r="AX9" i="1"/>
  <c r="AY9" i="1" s="1"/>
  <c r="BC9" i="1" s="1"/>
  <c r="BD9" i="1" s="1"/>
  <c r="BH9" i="1" s="1"/>
  <c r="BI9" i="1" s="1"/>
  <c r="BM9" i="1" s="1"/>
  <c r="AX22" i="1"/>
  <c r="AY22" i="1" s="1"/>
  <c r="BC22" i="1" s="1"/>
  <c r="BD22" i="1" s="1"/>
  <c r="BH22" i="1" s="1"/>
  <c r="BI22" i="1" s="1"/>
  <c r="BM22" i="1" s="1"/>
  <c r="BN7" i="1"/>
  <c r="AX18" i="1"/>
  <c r="AY18" i="1" s="1"/>
  <c r="BC18" i="1" s="1"/>
  <c r="BD18" i="1" s="1"/>
  <c r="BH18" i="1" s="1"/>
  <c r="BI18" i="1" s="1"/>
  <c r="BM18" i="1" s="1"/>
  <c r="AS36" i="1"/>
  <c r="AT36" i="1" s="1"/>
  <c r="AX36" i="1" s="1"/>
  <c r="AY36" i="1" s="1"/>
  <c r="BC36" i="1" s="1"/>
  <c r="BD36" i="1" s="1"/>
  <c r="BH36" i="1" s="1"/>
  <c r="BI36" i="1" s="1"/>
  <c r="BM36" i="1" s="1"/>
  <c r="AS30" i="1"/>
  <c r="AT30" i="1" s="1"/>
  <c r="AX30" i="1" s="1"/>
  <c r="AY30" i="1" s="1"/>
  <c r="BC30" i="1" s="1"/>
  <c r="BD30" i="1" s="1"/>
  <c r="BH30" i="1" s="1"/>
  <c r="BI30" i="1" s="1"/>
  <c r="BM30" i="1" s="1"/>
  <c r="BT15" i="1"/>
  <c r="CG14" i="1"/>
  <c r="BT14" i="1"/>
  <c r="AN35" i="1"/>
  <c r="AO35" i="1" s="1"/>
  <c r="AS35" i="1" s="1"/>
  <c r="AN34" i="1"/>
  <c r="AO34" i="1" s="1"/>
  <c r="AS34" i="1" s="1"/>
  <c r="AT29" i="1"/>
  <c r="AX29" i="1" s="1"/>
  <c r="AY29" i="1" s="1"/>
  <c r="BC29" i="1" s="1"/>
  <c r="BD29" i="1" s="1"/>
  <c r="BH29" i="1" s="1"/>
  <c r="BI29" i="1" s="1"/>
  <c r="BM29" i="1" s="1"/>
  <c r="AN37" i="1"/>
  <c r="AO37" i="1" s="1"/>
  <c r="AS37" i="1" s="1"/>
  <c r="AO28" i="1"/>
  <c r="AO43" i="1"/>
  <c r="AO33" i="1"/>
  <c r="AO32" i="1"/>
  <c r="AO40" i="1"/>
  <c r="AI42" i="1"/>
  <c r="AJ42" i="1" s="1"/>
  <c r="AN42" i="1" s="1"/>
  <c r="AJ5" i="1"/>
  <c r="Y6" i="1"/>
  <c r="Z6" i="1" s="1"/>
  <c r="AD6" i="1" s="1"/>
  <c r="BN9" i="1" l="1"/>
  <c r="BN36" i="1"/>
  <c r="BN21" i="1"/>
  <c r="BN25" i="1"/>
  <c r="BN19" i="1"/>
  <c r="BN30" i="1"/>
  <c r="BN22" i="1"/>
  <c r="BT22" i="1" s="1"/>
  <c r="BN29" i="1"/>
  <c r="BT29" i="1" s="1"/>
  <c r="BN27" i="1"/>
  <c r="BN18" i="1"/>
  <c r="BT18" i="1" s="1"/>
  <c r="CG11" i="1"/>
  <c r="BT16" i="1"/>
  <c r="BT9" i="1"/>
  <c r="BT23" i="1"/>
  <c r="CG31" i="1"/>
  <c r="BT10" i="1"/>
  <c r="CG20" i="1"/>
  <c r="BT13" i="1"/>
  <c r="BT8" i="1"/>
  <c r="CG24" i="1"/>
  <c r="CG7" i="1"/>
  <c r="CG26" i="1"/>
  <c r="CG12" i="1"/>
  <c r="BT20" i="1"/>
  <c r="CG15" i="1"/>
  <c r="BT36" i="1"/>
  <c r="BT17" i="1"/>
  <c r="BT11" i="1"/>
  <c r="AS43" i="1"/>
  <c r="AT43" i="1" s="1"/>
  <c r="AX43" i="1" s="1"/>
  <c r="AY43" i="1" s="1"/>
  <c r="BC43" i="1" s="1"/>
  <c r="BD43" i="1" s="1"/>
  <c r="BH43" i="1" s="1"/>
  <c r="BI43" i="1" s="1"/>
  <c r="BM43" i="1" s="1"/>
  <c r="AS44" i="1"/>
  <c r="AT44" i="1" s="1"/>
  <c r="AS40" i="1"/>
  <c r="AT40" i="1" s="1"/>
  <c r="AX40" i="1" s="1"/>
  <c r="AY40" i="1" s="1"/>
  <c r="BC40" i="1" s="1"/>
  <c r="BD40" i="1" s="1"/>
  <c r="BH40" i="1" s="1"/>
  <c r="BI40" i="1" s="1"/>
  <c r="BM40" i="1" s="1"/>
  <c r="AS28" i="1"/>
  <c r="AT28" i="1" s="1"/>
  <c r="AS33" i="1"/>
  <c r="AT33" i="1" s="1"/>
  <c r="AX33" i="1" s="1"/>
  <c r="AY33" i="1" s="1"/>
  <c r="BC33" i="1" s="1"/>
  <c r="BD33" i="1" s="1"/>
  <c r="BH33" i="1" s="1"/>
  <c r="BI33" i="1" s="1"/>
  <c r="BM33" i="1" s="1"/>
  <c r="AS32" i="1"/>
  <c r="AT32" i="1" s="1"/>
  <c r="AX32" i="1" s="1"/>
  <c r="AY32" i="1" s="1"/>
  <c r="BC32" i="1" s="1"/>
  <c r="BD32" i="1" s="1"/>
  <c r="BH32" i="1" s="1"/>
  <c r="BI32" i="1" s="1"/>
  <c r="BM32" i="1" s="1"/>
  <c r="AT34" i="1"/>
  <c r="AX34" i="1" s="1"/>
  <c r="AY34" i="1" s="1"/>
  <c r="BC34" i="1" s="1"/>
  <c r="BD34" i="1" s="1"/>
  <c r="BH34" i="1" s="1"/>
  <c r="BI34" i="1" s="1"/>
  <c r="BM34" i="1" s="1"/>
  <c r="AT35" i="1"/>
  <c r="AX35" i="1" s="1"/>
  <c r="AY35" i="1" s="1"/>
  <c r="BC35" i="1" s="1"/>
  <c r="BD35" i="1" s="1"/>
  <c r="BH35" i="1" s="1"/>
  <c r="BI35" i="1" s="1"/>
  <c r="BM35" i="1" s="1"/>
  <c r="AN5" i="1"/>
  <c r="AO5" i="1" s="1"/>
  <c r="AT37" i="1"/>
  <c r="AX37" i="1" s="1"/>
  <c r="AY37" i="1" s="1"/>
  <c r="BC37" i="1" s="1"/>
  <c r="BD37" i="1" s="1"/>
  <c r="BH37" i="1" s="1"/>
  <c r="BI37" i="1" s="1"/>
  <c r="BM37" i="1" s="1"/>
  <c r="AO42" i="1"/>
  <c r="AE6" i="1"/>
  <c r="BN43" i="1" l="1"/>
  <c r="BN35" i="1"/>
  <c r="BT35" i="1" s="1"/>
  <c r="BT27" i="1"/>
  <c r="BN37" i="1"/>
  <c r="AX28" i="1"/>
  <c r="AY28" i="1" s="1"/>
  <c r="BC28" i="1" s="1"/>
  <c r="BD28" i="1" s="1"/>
  <c r="BH28" i="1" s="1"/>
  <c r="BI28" i="1" s="1"/>
  <c r="BM28" i="1" s="1"/>
  <c r="BN40" i="1"/>
  <c r="BN33" i="1"/>
  <c r="AS5" i="1"/>
  <c r="AT5" i="1" s="1"/>
  <c r="AX5" i="1" s="1"/>
  <c r="AY5" i="1" s="1"/>
  <c r="BC5" i="1" s="1"/>
  <c r="BD5" i="1" s="1"/>
  <c r="BH5" i="1" s="1"/>
  <c r="BI5" i="1" s="1"/>
  <c r="BM5" i="1" s="1"/>
  <c r="AX44" i="1"/>
  <c r="AY44" i="1" s="1"/>
  <c r="BC44" i="1" s="1"/>
  <c r="BD44" i="1" s="1"/>
  <c r="BH44" i="1" s="1"/>
  <c r="BI44" i="1" s="1"/>
  <c r="BM44" i="1" s="1"/>
  <c r="BN34" i="1"/>
  <c r="BT34" i="1" s="1"/>
  <c r="BN32" i="1"/>
  <c r="CG9" i="1"/>
  <c r="CG23" i="1"/>
  <c r="BT31" i="1"/>
  <c r="BT38" i="1"/>
  <c r="CG38" i="1"/>
  <c r="CG10" i="1"/>
  <c r="BT7" i="1"/>
  <c r="CG36" i="1"/>
  <c r="BT24" i="1"/>
  <c r="BT19" i="1"/>
  <c r="CG19" i="1"/>
  <c r="BT21" i="1"/>
  <c r="CG21" i="1"/>
  <c r="CG18" i="1"/>
  <c r="BT30" i="1"/>
  <c r="BT12" i="1"/>
  <c r="BT25" i="1"/>
  <c r="CG25" i="1"/>
  <c r="CG29" i="1"/>
  <c r="AS42" i="1"/>
  <c r="AT42" i="1" s="1"/>
  <c r="AX42" i="1" s="1"/>
  <c r="AY42" i="1" s="1"/>
  <c r="BC42" i="1" s="1"/>
  <c r="BD42" i="1" s="1"/>
  <c r="BH42" i="1" s="1"/>
  <c r="BI42" i="1" s="1"/>
  <c r="BM42" i="1" s="1"/>
  <c r="AI6" i="1"/>
  <c r="AJ6" i="1" s="1"/>
  <c r="AN6" i="1" s="1"/>
  <c r="BN44" i="1" l="1"/>
  <c r="BN5" i="1"/>
  <c r="BT5" i="1" s="1"/>
  <c r="BN42" i="1"/>
  <c r="BN28" i="1"/>
  <c r="BT28" i="1" s="1"/>
  <c r="CG35" i="1"/>
  <c r="CG30" i="1"/>
  <c r="BT44" i="1"/>
  <c r="BT33" i="1"/>
  <c r="CG43" i="1"/>
  <c r="BT43" i="1"/>
  <c r="CG44" i="1"/>
  <c r="CG34" i="1"/>
  <c r="BT37" i="1"/>
  <c r="CG37" i="1"/>
  <c r="AO6" i="1"/>
  <c r="CG5" i="1" l="1"/>
  <c r="CG33" i="1"/>
  <c r="CG28" i="1"/>
  <c r="CG42" i="1"/>
  <c r="BT32" i="1"/>
  <c r="CG32" i="1"/>
  <c r="BT40" i="1"/>
  <c r="CG40" i="1"/>
  <c r="AS6" i="1"/>
  <c r="AT6" i="1" s="1"/>
  <c r="AX6" i="1" s="1"/>
  <c r="AY6" i="1" s="1"/>
  <c r="BC6" i="1" s="1"/>
  <c r="BD6" i="1" s="1"/>
  <c r="BH6" i="1" s="1"/>
  <c r="BI6" i="1" s="1"/>
  <c r="BM6" i="1" s="1"/>
  <c r="BN6" i="1" l="1"/>
  <c r="BT42" i="1"/>
  <c r="BT6" i="1" l="1"/>
  <c r="CG6" i="1"/>
</calcChain>
</file>

<file path=xl/sharedStrings.xml><?xml version="1.0" encoding="utf-8"?>
<sst xmlns="http://schemas.openxmlformats.org/spreadsheetml/2006/main" count="180" uniqueCount="90">
  <si>
    <t>Daftar Obat Indikator</t>
  </si>
  <si>
    <t>No</t>
  </si>
  <si>
    <t>Kode Obat</t>
  </si>
  <si>
    <t>Nama Obat</t>
  </si>
  <si>
    <t>Satuan</t>
  </si>
  <si>
    <t>Albendazole 400 mg Tablet</t>
  </si>
  <si>
    <t>Tablet</t>
  </si>
  <si>
    <t>Alopurinol 100 mg Tablet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</si>
  <si>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</si>
  <si>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</si>
  <si>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</si>
  <si>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</si>
  <si>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</si>
  <si>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</si>
  <si>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</si>
  <si>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</si>
  <si>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>Tube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</si>
  <si>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</si>
  <si>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</si>
  <si>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</si>
  <si>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</si>
  <si>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</si>
  <si>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Ampul</t>
  </si>
  <si>
    <t>Garam Oralit Serbuk</t>
  </si>
  <si>
    <t>Bungkus</t>
  </si>
  <si>
    <t xml:space="preserve">Glimepirid 2 mg Tablet </t>
  </si>
  <si>
    <t>Haloperidol  5 mg Tablet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</si>
  <si>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</si>
  <si>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</si>
  <si>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</si>
  <si>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</si>
  <si>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</si>
  <si>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</si>
  <si>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</si>
  <si>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</si>
  <si>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</si>
  <si>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</si>
  <si>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Kapsul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</si>
  <si>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</si>
  <si>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</si>
  <si>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</si>
  <si>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</si>
  <si>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200.000 IU Kapsul Lunak</t>
  </si>
  <si>
    <t>Salbutamol  2 mg Tablet</t>
  </si>
  <si>
    <t>Zinc Sulfate Monohydrate 20 mg Tablet Dispersible</t>
  </si>
  <si>
    <t>Penerimaan</t>
  </si>
  <si>
    <t>Pemakaian</t>
  </si>
  <si>
    <t>Stok Akhir</t>
  </si>
  <si>
    <t>Harga</t>
  </si>
  <si>
    <t>Januari</t>
  </si>
  <si>
    <t>SA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</si>
  <si>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</si>
  <si>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</si>
  <si>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</si>
  <si>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</si>
  <si>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</si>
  <si>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</si>
  <si>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</si>
  <si>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</si>
  <si>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</si>
  <si>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</si>
  <si>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</si>
  <si>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Ibuprofen 200 mg Tablet Salut Selaput</t>
  </si>
  <si>
    <t xml:space="preserve">Simvastatin 20 mg Tablet </t>
  </si>
  <si>
    <t>Retinol Palmitate 100.000 IU Kapsul Lunak</t>
  </si>
  <si>
    <t>tube</t>
  </si>
  <si>
    <t>Gentamisin salep kulit</t>
  </si>
  <si>
    <t>Gentamisin salep mata</t>
  </si>
  <si>
    <t>Fitomenadion Injeksi</t>
  </si>
  <si>
    <t>Total Penerimaan</t>
  </si>
  <si>
    <t>Total Stok  Awal</t>
  </si>
  <si>
    <t>Total Pemakaian</t>
  </si>
  <si>
    <t>Total Stok Akhir</t>
  </si>
  <si>
    <t>Total Stok</t>
  </si>
  <si>
    <t>Pemakaian Bulanan</t>
  </si>
  <si>
    <t>Tingkat Ketersediaan</t>
  </si>
  <si>
    <t>RKO</t>
  </si>
  <si>
    <t>% Ketepatan Perencanaan</t>
  </si>
  <si>
    <t>ED</t>
  </si>
  <si>
    <t>Ketepatan Permintaan</t>
  </si>
  <si>
    <t>Ketepatan Penerimaan</t>
  </si>
  <si>
    <t>Ketepatan jumlah distribusi</t>
  </si>
  <si>
    <t>TOR</t>
  </si>
  <si>
    <t>Stok Mati</t>
  </si>
  <si>
    <t>Obat ED</t>
  </si>
  <si>
    <t>Kesesuaian Jumlah Fisik</t>
  </si>
  <si>
    <t>Monev</t>
  </si>
  <si>
    <t>Inv Awal</t>
  </si>
  <si>
    <t>Inv On Hand</t>
  </si>
  <si>
    <t>Rata2 Ketersediaan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</si>
</sst>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p&quot;* #,##0.00_);_(&quot;Rp&quot;* \(#,##0.00\);_(&quot;Rp&quot;* &quot;-&quot;_);_(@_)"/>
    <numFmt numFmtId="165" formatCode="_-&quot;Rp&quot;* #,##0.00_-;\-&quot;Rp&quot;* #,##0.00_-;_-&quot;Rp&quot;* &quot;-&quot;_-;_-@_-"/>
  </numFmts>
  <fonts count="19" x14ac:knownFonts="1">
    <font>
      <sz val="12"/>
      <color theme="1"/>
      <name val="Aptos Narrow"/>
      <family val="2"/>
      <charset val="1"/>
      <scheme val="minor"/>
    </font>
    <font>
      <u/>
      <sz val="12"/>
      <color theme="10"/>
      <name val="Aptos Narrow"/>
      <family val="2"/>
      <charset val="1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rgb="FF212529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charset val="1"/>
      <scheme val="minor"/>
    </font>
    <font>
      <b/>
      <sz val="14"/>
      <color rgb="FF000000"/>
      <name val="Calibri"/>
      <family val="2"/>
    </font>
    <font>
      <sz val="14"/>
      <color theme="1"/>
      <name val="Aptos Narrow"/>
      <family val="2"/>
      <charset val="1"/>
      <scheme val="minor"/>
    </font>
    <font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scheme val="minor"/>
    </font>
    <font>
      <sz val="14"/>
      <color rgb="FF000000"/>
      <name val="Aptos Narrow"/>
      <scheme val="minor"/>
    </font>
    <font>
      <sz val="14"/>
      <color rgb="FF212529"/>
      <name val="Aptos Narrow"/>
      <scheme val="minor"/>
    </font>
    <font>
      <sz val="14"/>
      <color rgb="FF000000"/>
      <name val="Times New Roman"/>
      <family val="1"/>
    </font>
    <font>
      <sz val="12"/>
      <color rgb="FFFF0000"/>
      <name val="Aptos Narrow"/>
      <family val="2"/>
      <charset val="1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DADAD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165" fontId="7" fillId="0" borderId="0" xfId="0" applyNumberFormat="1" applyFont="1" applyAlignment="1">
      <alignment horizontal="right" vertical="top"/>
    </xf>
    <xf numFmtId="0" fontId="4" fillId="5" borderId="1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4" xfId="0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165" fontId="11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center" vertical="top"/>
    </xf>
    <xf numFmtId="0" fontId="10" fillId="0" borderId="0" xfId="0" applyFont="1" applyAlignment="1">
      <alignment vertical="top"/>
    </xf>
    <xf numFmtId="0" fontId="14" fillId="3" borderId="1" xfId="0" applyFont="1" applyFill="1" applyBorder="1" applyAlignment="1">
      <alignment horizontal="center" vertical="top"/>
    </xf>
    <xf numFmtId="0" fontId="13" fillId="4" borderId="0" xfId="0" applyFont="1" applyFill="1" applyAlignment="1">
      <alignment horizontal="center" vertical="top"/>
    </xf>
    <xf numFmtId="0" fontId="14" fillId="3" borderId="1" xfId="0" applyFont="1" applyFill="1" applyBorder="1" applyAlignment="1">
      <alignment vertical="top"/>
    </xf>
    <xf numFmtId="0" fontId="13" fillId="4" borderId="1" xfId="0" applyFont="1" applyFill="1" applyBorder="1" applyAlignment="1">
      <alignment vertical="top"/>
    </xf>
    <xf numFmtId="0" fontId="13" fillId="4" borderId="3" xfId="0" applyFont="1" applyFill="1" applyBorder="1" applyAlignment="1">
      <alignment vertical="top"/>
    </xf>
    <xf numFmtId="0" fontId="13" fillId="4" borderId="0" xfId="0" applyFont="1" applyFill="1" applyAlignment="1">
      <alignment vertical="top"/>
    </xf>
    <xf numFmtId="165" fontId="15" fillId="0" borderId="1" xfId="0" applyNumberFormat="1" applyFont="1" applyBorder="1" applyAlignment="1">
      <alignment horizontal="right" vertical="top"/>
    </xf>
    <xf numFmtId="0" fontId="12" fillId="0" borderId="1" xfId="1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vertical="top"/>
    </xf>
    <xf numFmtId="2" fontId="10" fillId="0" borderId="0" xfId="0" applyNumberFormat="1" applyFont="1" applyAlignment="1">
      <alignment vertical="top"/>
    </xf>
    <xf numFmtId="0" fontId="12" fillId="0" borderId="1" xfId="1" applyNumberFormat="1" applyFont="1" applyBorder="1" applyAlignment="1">
      <alignment horizontal="center" vertical="top"/>
    </xf>
    <xf numFmtId="165" fontId="16" fillId="0" borderId="1" xfId="0" applyNumberFormat="1" applyFont="1" applyBorder="1" applyAlignment="1">
      <alignment horizontal="right" vertical="top"/>
    </xf>
    <xf numFmtId="165" fontId="11" fillId="0" borderId="1" xfId="0" applyNumberFormat="1" applyFont="1" applyBorder="1" applyAlignment="1">
      <alignment horizontal="right" vertical="top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/>
    <xf numFmtId="164" fontId="17" fillId="0" borderId="1" xfId="0" applyNumberFormat="1" applyFont="1" applyBorder="1"/>
    <xf numFmtId="165" fontId="17" fillId="0" borderId="10" xfId="0" applyNumberFormat="1" applyFont="1" applyBorder="1" applyAlignment="1">
      <alignment horizontal="left"/>
    </xf>
    <xf numFmtId="0" fontId="12" fillId="0" borderId="5" xfId="1" applyNumberFormat="1" applyFont="1" applyBorder="1" applyAlignment="1">
      <alignment horizontal="center" vertical="top"/>
    </xf>
    <xf numFmtId="165" fontId="17" fillId="0" borderId="9" xfId="0" applyNumberFormat="1" applyFont="1" applyBorder="1" applyAlignment="1">
      <alignment horizontal="left"/>
    </xf>
    <xf numFmtId="165" fontId="17" fillId="0" borderId="11" xfId="0" applyNumberFormat="1" applyFont="1" applyBorder="1" applyAlignment="1">
      <alignment horizontal="left"/>
    </xf>
    <xf numFmtId="0" fontId="12" fillId="0" borderId="4" xfId="1" applyNumberFormat="1" applyFont="1" applyBorder="1" applyAlignment="1">
      <alignment horizontal="center" vertical="top" wrapText="1"/>
    </xf>
    <xf numFmtId="0" fontId="10" fillId="0" borderId="4" xfId="0" applyFont="1" applyBorder="1" applyAlignment="1">
      <alignment vertical="top"/>
    </xf>
    <xf numFmtId="0" fontId="18" fillId="0" borderId="0" xfId="0" applyFont="1" applyAlignment="1">
      <alignment vertical="top"/>
    </xf>
    <xf numFmtId="10" fontId="18" fillId="0" borderId="0" xfId="2" applyNumberFormat="1" applyFont="1" applyAlignment="1">
      <alignment vertical="top"/>
    </xf>
    <xf numFmtId="9" fontId="18" fillId="0" borderId="0" xfId="0" applyNumberFormat="1" applyFont="1" applyAlignment="1">
      <alignment vertical="top"/>
    </xf>
    <xf numFmtId="2" fontId="18" fillId="0" borderId="0" xfId="0" applyNumberFormat="1" applyFont="1" applyAlignment="1">
      <alignment vertical="top"/>
    </xf>
    <xf numFmtId="9" fontId="18" fillId="0" borderId="0" xfId="2" applyFont="1" applyAlignment="1">
      <alignment vertical="top"/>
    </xf>
    <xf numFmtId="0" fontId="10" fillId="6" borderId="0" xfId="0" applyFont="1" applyFill="1" applyAlignment="1">
      <alignment vertical="top"/>
    </xf>
    <xf numFmtId="0" fontId="13" fillId="7" borderId="0" xfId="0" applyFont="1" applyFill="1" applyAlignment="1">
      <alignment horizontal="center" vertical="top"/>
    </xf>
    <xf numFmtId="0" fontId="13" fillId="7" borderId="0" xfId="0" applyFont="1" applyFill="1" applyAlignment="1">
      <alignment vertical="top"/>
    </xf>
    <xf numFmtId="0" fontId="0" fillId="6" borderId="0" xfId="0" applyFill="1" applyAlignment="1">
      <alignment vertical="top"/>
    </xf>
    <xf numFmtId="0" fontId="13" fillId="4" borderId="6" xfId="0" applyFont="1" applyFill="1" applyBorder="1" applyAlignment="1">
      <alignment horizontal="center" vertical="top"/>
    </xf>
    <xf numFmtId="0" fontId="13" fillId="4" borderId="7" xfId="0" applyFont="1" applyFill="1" applyBorder="1" applyAlignment="1">
      <alignment horizontal="center" vertical="top"/>
    </xf>
    <xf numFmtId="0" fontId="13" fillId="4" borderId="8" xfId="0" applyFont="1" applyFill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4" fillId="3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165" fontId="13" fillId="2" borderId="1" xfId="0" applyNumberFormat="1" applyFont="1" applyFill="1" applyBorder="1" applyAlignment="1">
      <alignment horizontal="right" vertical="top"/>
    </xf>
    <xf numFmtId="0" fontId="14" fillId="3" borderId="8" xfId="0" applyFont="1" applyFill="1" applyBorder="1" applyAlignment="1">
      <alignment horizontal="center" vertical="top"/>
    </xf>
    <xf numFmtId="0" fontId="13" fillId="4" borderId="1" xfId="0" applyFont="1" applyFill="1" applyBorder="1" applyAlignment="1">
      <alignment horizontal="center" vertical="top"/>
    </xf>
  </cellXfs>
  <cellStyles count="3">
    <cellStyle name="Hipertaut" xfId="1" builtinId="8"/>
    <cellStyle name="Normal" xfId="0" builtinId="0"/>
    <cellStyle name="Persen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A573C-D5D3-ED43-AA96-266C4786E66E}">
  <dimension ref="A1:CI44"/>
  <sheetViews>
    <sheetView tabSelected="1" topLeftCell="BE2" zoomScale="75" zoomScaleNormal="80" workbookViewId="0">
      <selection activeCell="CG4" sqref="CG4:CG44"/>
    </sheetView>
  </sheetViews>
  <sheetFormatPr baseColWidth="10" defaultColWidth="8.83203125" defaultRowHeight="16" x14ac:dyDescent="0.2"/>
  <cols>
    <col min="1" max="1" width="5" style="2" customWidth="1"/>
    <col min="2" max="2" width="14.83203125" style="2" customWidth="1"/>
    <col min="3" max="3" width="40.5" style="2" customWidth="1"/>
    <col min="4" max="4" width="17" style="1" customWidth="1"/>
    <col min="5" max="5" width="17.33203125" style="11" customWidth="1"/>
    <col min="6" max="6" width="8" style="8" customWidth="1"/>
    <col min="7" max="8" width="8.1640625" style="2" customWidth="1"/>
    <col min="9" max="9" width="13.33203125" style="2" customWidth="1"/>
    <col min="10" max="10" width="11.83203125" style="2" customWidth="1"/>
    <col min="11" max="66" width="8.83203125" style="2" customWidth="1"/>
    <col min="67" max="69" width="14.1640625" style="49" customWidth="1"/>
    <col min="70" max="74" width="8.83203125" style="2" customWidth="1"/>
    <col min="75" max="75" width="12.5" style="2" customWidth="1"/>
    <col min="76" max="76" width="8.83203125" style="2" customWidth="1"/>
    <col min="77" max="77" width="8.83203125" style="2"/>
    <col min="78" max="78" width="11" style="41" customWidth="1"/>
    <col min="79" max="79" width="14" style="41" customWidth="1"/>
    <col min="80" max="80" width="14.6640625" style="41" customWidth="1"/>
    <col min="81" max="87" width="8.83203125" style="41"/>
    <col min="88" max="16384" width="8.83203125" style="2"/>
  </cols>
  <sheetData>
    <row r="1" spans="1:87" ht="19" x14ac:dyDescent="0.2">
      <c r="A1" s="53" t="s">
        <v>0</v>
      </c>
      <c r="B1" s="54"/>
      <c r="C1" s="54"/>
      <c r="D1" s="15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46"/>
      <c r="BP1" s="46"/>
      <c r="BQ1" s="46"/>
      <c r="BR1" s="18"/>
      <c r="BS1" s="18"/>
      <c r="BT1" s="18"/>
      <c r="BU1" s="18"/>
      <c r="BV1" s="18"/>
      <c r="BW1" s="18"/>
    </row>
    <row r="2" spans="1:87" ht="19" customHeight="1" x14ac:dyDescent="0.2">
      <c r="A2" s="56" t="s">
        <v>1</v>
      </c>
      <c r="B2" s="58" t="s">
        <v>2</v>
      </c>
      <c r="C2" s="58" t="s">
        <v>3</v>
      </c>
      <c r="D2" s="58" t="s">
        <v>4</v>
      </c>
      <c r="E2" s="60" t="s">
        <v>48</v>
      </c>
      <c r="F2" s="55" t="s">
        <v>49</v>
      </c>
      <c r="G2" s="55"/>
      <c r="H2" s="55"/>
      <c r="I2" s="55"/>
      <c r="J2" s="55"/>
      <c r="K2" s="55" t="s">
        <v>51</v>
      </c>
      <c r="L2" s="55"/>
      <c r="M2" s="55"/>
      <c r="N2" s="55"/>
      <c r="O2" s="55"/>
      <c r="P2" s="55" t="s">
        <v>52</v>
      </c>
      <c r="Q2" s="55"/>
      <c r="R2" s="55"/>
      <c r="S2" s="55"/>
      <c r="T2" s="55"/>
      <c r="U2" s="61" t="s">
        <v>53</v>
      </c>
      <c r="V2" s="55"/>
      <c r="W2" s="55"/>
      <c r="X2" s="55"/>
      <c r="Y2" s="55"/>
      <c r="Z2" s="50" t="s">
        <v>54</v>
      </c>
      <c r="AA2" s="51"/>
      <c r="AB2" s="51"/>
      <c r="AC2" s="51"/>
      <c r="AD2" s="52"/>
      <c r="AE2" s="50" t="s">
        <v>55</v>
      </c>
      <c r="AF2" s="51"/>
      <c r="AG2" s="51"/>
      <c r="AH2" s="51"/>
      <c r="AI2" s="52"/>
      <c r="AJ2" s="50" t="s">
        <v>56</v>
      </c>
      <c r="AK2" s="51"/>
      <c r="AL2" s="51"/>
      <c r="AM2" s="51"/>
      <c r="AN2" s="52"/>
      <c r="AO2" s="50" t="s">
        <v>57</v>
      </c>
      <c r="AP2" s="51"/>
      <c r="AQ2" s="51"/>
      <c r="AR2" s="51"/>
      <c r="AS2" s="52"/>
      <c r="AT2" s="50" t="s">
        <v>58</v>
      </c>
      <c r="AU2" s="51"/>
      <c r="AV2" s="51"/>
      <c r="AW2" s="51"/>
      <c r="AX2" s="51"/>
      <c r="AY2" s="62" t="s">
        <v>59</v>
      </c>
      <c r="AZ2" s="62"/>
      <c r="BA2" s="62"/>
      <c r="BB2" s="62"/>
      <c r="BC2" s="62"/>
      <c r="BD2" s="62" t="s">
        <v>60</v>
      </c>
      <c r="BE2" s="62"/>
      <c r="BF2" s="62"/>
      <c r="BG2" s="62"/>
      <c r="BH2" s="62"/>
      <c r="BI2" s="62" t="s">
        <v>61</v>
      </c>
      <c r="BJ2" s="62"/>
      <c r="BK2" s="62"/>
      <c r="BL2" s="62"/>
      <c r="BM2" s="62"/>
      <c r="BN2" s="20" t="s">
        <v>70</v>
      </c>
      <c r="BO2" s="47" t="s">
        <v>87</v>
      </c>
      <c r="BP2" s="47" t="s">
        <v>88</v>
      </c>
      <c r="BQ2" s="47" t="s">
        <v>89</v>
      </c>
      <c r="BR2" s="18" t="s">
        <v>69</v>
      </c>
      <c r="BS2" s="18" t="s">
        <v>71</v>
      </c>
      <c r="BT2" s="18" t="s">
        <v>72</v>
      </c>
      <c r="BU2" s="18" t="s">
        <v>73</v>
      </c>
      <c r="BV2" s="18" t="s">
        <v>74</v>
      </c>
      <c r="BW2" s="18" t="s">
        <v>84</v>
      </c>
      <c r="BY2" s="2" t="s">
        <v>76</v>
      </c>
      <c r="BZ2" s="41" t="s">
        <v>77</v>
      </c>
      <c r="CA2" s="41" t="s">
        <v>79</v>
      </c>
      <c r="CB2" s="41" t="s">
        <v>80</v>
      </c>
      <c r="CC2" s="41" t="s">
        <v>81</v>
      </c>
      <c r="CD2" s="41" t="s">
        <v>82</v>
      </c>
      <c r="CE2" s="41" t="s">
        <v>75</v>
      </c>
      <c r="CF2" s="41" t="s">
        <v>83</v>
      </c>
      <c r="CG2" s="41" t="s">
        <v>84</v>
      </c>
      <c r="CH2" s="41" t="s">
        <v>85</v>
      </c>
      <c r="CI2" s="41" t="s">
        <v>86</v>
      </c>
    </row>
    <row r="3" spans="1:87" ht="19" x14ac:dyDescent="0.2">
      <c r="A3" s="57"/>
      <c r="B3" s="59"/>
      <c r="C3" s="59"/>
      <c r="D3" s="59"/>
      <c r="E3" s="60"/>
      <c r="F3" s="9" t="s">
        <v>50</v>
      </c>
      <c r="G3" s="21" t="s">
        <v>45</v>
      </c>
      <c r="H3" s="19" t="s">
        <v>78</v>
      </c>
      <c r="I3" s="21" t="s">
        <v>46</v>
      </c>
      <c r="J3" s="21" t="s">
        <v>47</v>
      </c>
      <c r="K3" s="9" t="s">
        <v>50</v>
      </c>
      <c r="L3" s="21" t="s">
        <v>45</v>
      </c>
      <c r="M3" s="19" t="s">
        <v>78</v>
      </c>
      <c r="N3" s="21" t="s">
        <v>46</v>
      </c>
      <c r="O3" s="21" t="s">
        <v>47</v>
      </c>
      <c r="P3" s="9" t="s">
        <v>50</v>
      </c>
      <c r="Q3" s="21" t="s">
        <v>45</v>
      </c>
      <c r="R3" s="21" t="s">
        <v>78</v>
      </c>
      <c r="S3" s="21" t="s">
        <v>46</v>
      </c>
      <c r="T3" s="21" t="s">
        <v>47</v>
      </c>
      <c r="U3" s="9" t="s">
        <v>50</v>
      </c>
      <c r="V3" s="21" t="s">
        <v>45</v>
      </c>
      <c r="W3" s="19" t="s">
        <v>78</v>
      </c>
      <c r="X3" s="21" t="s">
        <v>46</v>
      </c>
      <c r="Y3" s="21" t="s">
        <v>47</v>
      </c>
      <c r="Z3" s="3" t="s">
        <v>50</v>
      </c>
      <c r="AA3" s="22" t="s">
        <v>45</v>
      </c>
      <c r="AB3" s="22" t="s">
        <v>78</v>
      </c>
      <c r="AC3" s="22" t="s">
        <v>46</v>
      </c>
      <c r="AD3" s="22" t="s">
        <v>47</v>
      </c>
      <c r="AE3" s="3" t="s">
        <v>50</v>
      </c>
      <c r="AF3" s="22" t="s">
        <v>45</v>
      </c>
      <c r="AG3" s="22" t="s">
        <v>78</v>
      </c>
      <c r="AH3" s="22" t="s">
        <v>46</v>
      </c>
      <c r="AI3" s="22" t="s">
        <v>47</v>
      </c>
      <c r="AJ3" s="3" t="s">
        <v>50</v>
      </c>
      <c r="AK3" s="23" t="s">
        <v>45</v>
      </c>
      <c r="AL3" s="23" t="s">
        <v>78</v>
      </c>
      <c r="AM3" s="23" t="s">
        <v>46</v>
      </c>
      <c r="AN3" s="23" t="s">
        <v>47</v>
      </c>
      <c r="AO3" s="10" t="s">
        <v>50</v>
      </c>
      <c r="AP3" s="22" t="s">
        <v>45</v>
      </c>
      <c r="AQ3" s="22" t="s">
        <v>78</v>
      </c>
      <c r="AR3" s="22" t="s">
        <v>46</v>
      </c>
      <c r="AS3" s="22" t="s">
        <v>47</v>
      </c>
      <c r="AT3" s="3" t="s">
        <v>50</v>
      </c>
      <c r="AU3" s="22" t="s">
        <v>45</v>
      </c>
      <c r="AV3" s="22" t="s">
        <v>78</v>
      </c>
      <c r="AW3" s="22" t="s">
        <v>46</v>
      </c>
      <c r="AX3" s="22" t="s">
        <v>47</v>
      </c>
      <c r="AY3" s="3" t="s">
        <v>50</v>
      </c>
      <c r="AZ3" s="22" t="s">
        <v>45</v>
      </c>
      <c r="BA3" s="22" t="s">
        <v>78</v>
      </c>
      <c r="BB3" s="22" t="s">
        <v>46</v>
      </c>
      <c r="BC3" s="22" t="s">
        <v>47</v>
      </c>
      <c r="BD3" s="3" t="s">
        <v>50</v>
      </c>
      <c r="BE3" s="22" t="s">
        <v>45</v>
      </c>
      <c r="BF3" s="22" t="s">
        <v>78</v>
      </c>
      <c r="BG3" s="22" t="s">
        <v>46</v>
      </c>
      <c r="BH3" s="22" t="s">
        <v>47</v>
      </c>
      <c r="BI3" s="3" t="s">
        <v>50</v>
      </c>
      <c r="BJ3" s="22" t="s">
        <v>45</v>
      </c>
      <c r="BK3" s="22" t="s">
        <v>78</v>
      </c>
      <c r="BL3" s="22" t="s">
        <v>46</v>
      </c>
      <c r="BM3" s="22" t="s">
        <v>47</v>
      </c>
      <c r="BN3" s="24"/>
      <c r="BO3" s="48"/>
      <c r="BP3" s="48"/>
      <c r="BQ3" s="48"/>
      <c r="BR3" s="18"/>
      <c r="BS3" s="18"/>
      <c r="BT3" s="18"/>
      <c r="BU3" s="18"/>
      <c r="BV3" s="18"/>
      <c r="BW3" s="18"/>
    </row>
    <row r="4" spans="1:87" ht="19" x14ac:dyDescent="0.2">
      <c r="A4" s="4">
        <v>1</v>
      </c>
      <c r="B4" s="5">
        <v>92000146</v>
      </c>
      <c r="C4" s="4" t="s">
        <v>5</v>
      </c>
      <c r="D4" s="6" t="s">
        <v>6</v>
      </c>
      <c r="E4" s="25">
        <v>457</v>
      </c>
      <c r="F4" s="26">
        <v>0</v>
      </c>
      <c r="G4" s="26"/>
      <c r="H4" s="26"/>
      <c r="I4" s="26"/>
      <c r="J4" s="27">
        <f>F4+G4-I4-H4</f>
        <v>0</v>
      </c>
      <c r="K4" s="26">
        <f>J4</f>
        <v>0</v>
      </c>
      <c r="L4" s="26"/>
      <c r="M4" s="26"/>
      <c r="N4" s="26"/>
      <c r="O4" s="26">
        <f>K4+L4-N4-M4</f>
        <v>0</v>
      </c>
      <c r="P4" s="26">
        <f>O4</f>
        <v>0</v>
      </c>
      <c r="Q4" s="27">
        <v>4600</v>
      </c>
      <c r="R4" s="27"/>
      <c r="S4" s="27"/>
      <c r="T4" s="27">
        <f>P4+Q4-S4-R4</f>
        <v>4600</v>
      </c>
      <c r="U4" s="27">
        <f>T4</f>
        <v>4600</v>
      </c>
      <c r="V4" s="27"/>
      <c r="W4" s="27"/>
      <c r="X4" s="27">
        <v>4600</v>
      </c>
      <c r="Y4" s="27">
        <f>U4+V4-X4-W4</f>
        <v>0</v>
      </c>
      <c r="Z4" s="27">
        <f>Y4</f>
        <v>0</v>
      </c>
      <c r="AA4" s="27"/>
      <c r="AB4" s="27"/>
      <c r="AC4" s="27"/>
      <c r="AD4" s="27">
        <f>Z4+AA4-AC4-AB4</f>
        <v>0</v>
      </c>
      <c r="AE4" s="27">
        <f>AD4</f>
        <v>0</v>
      </c>
      <c r="AF4" s="27"/>
      <c r="AG4" s="27"/>
      <c r="AH4" s="27">
        <v>0</v>
      </c>
      <c r="AI4" s="27">
        <f>AE4+AF4-AH4-AG4</f>
        <v>0</v>
      </c>
      <c r="AJ4" s="27">
        <f>AI4</f>
        <v>0</v>
      </c>
      <c r="AK4" s="27"/>
      <c r="AL4" s="27"/>
      <c r="AM4" s="27">
        <v>0</v>
      </c>
      <c r="AN4" s="27">
        <f>AJ4+AK4-AM4-AL4</f>
        <v>0</v>
      </c>
      <c r="AO4" s="27">
        <f>AN4</f>
        <v>0</v>
      </c>
      <c r="AP4" s="27"/>
      <c r="AQ4" s="27"/>
      <c r="AR4" s="27">
        <v>0</v>
      </c>
      <c r="AS4" s="27">
        <f>AO4+AP4-AR4-AQ4</f>
        <v>0</v>
      </c>
      <c r="AT4" s="27">
        <f>AS4</f>
        <v>0</v>
      </c>
      <c r="AU4" s="27">
        <v>5300</v>
      </c>
      <c r="AV4" s="27"/>
      <c r="AW4" s="27">
        <v>0</v>
      </c>
      <c r="AX4" s="27">
        <f>AT4+AU4-AW4-AV4</f>
        <v>5300</v>
      </c>
      <c r="AY4" s="27">
        <f>AX4</f>
        <v>5300</v>
      </c>
      <c r="AZ4" s="27"/>
      <c r="BA4" s="27"/>
      <c r="BB4" s="27">
        <v>5300</v>
      </c>
      <c r="BC4" s="27">
        <f>AY4+AZ4-BB4-BA4</f>
        <v>0</v>
      </c>
      <c r="BD4" s="27">
        <f>BC4</f>
        <v>0</v>
      </c>
      <c r="BE4" s="27"/>
      <c r="BF4" s="27"/>
      <c r="BG4" s="27">
        <v>0</v>
      </c>
      <c r="BH4" s="27">
        <f>BD4+BE4-BF4-BG4</f>
        <v>0</v>
      </c>
      <c r="BI4" s="27">
        <f>BH4</f>
        <v>0</v>
      </c>
      <c r="BJ4" s="27">
        <v>44</v>
      </c>
      <c r="BK4" s="27"/>
      <c r="BL4" s="27"/>
      <c r="BM4" s="27">
        <f>BI4+BJ4-BL4-BK4</f>
        <v>44</v>
      </c>
      <c r="BN4" s="18">
        <f>F4+K4+P4+U4+Z4+AE4+AJ4+AO4+AT4+AY4+BD4+BI4</f>
        <v>9900</v>
      </c>
      <c r="BO4" s="46">
        <v>4600</v>
      </c>
      <c r="BP4" s="46">
        <f>(BO4+BR4)-BS4</f>
        <v>4644</v>
      </c>
      <c r="BQ4" s="46">
        <f>(BO4+BP4)/2</f>
        <v>4622</v>
      </c>
      <c r="BR4" s="18">
        <f t="shared" ref="BR4:BR44" si="0">G4+L4+Q4+V4+AA4+AF4+AK4+AP4+AU4+AZ4+BE4+BJ4</f>
        <v>9944</v>
      </c>
      <c r="BS4" s="18">
        <f>I4+N4+S4+X4+AC4+AH4+AM4+AR4+AW4+BB4+BG4+BL4</f>
        <v>9900</v>
      </c>
      <c r="BT4" s="18">
        <f t="shared" ref="BT4:BT44" si="1">BN4+BR4-BS4</f>
        <v>9944</v>
      </c>
      <c r="BU4" s="18">
        <f>BO4+BR4</f>
        <v>14544</v>
      </c>
      <c r="BV4" s="18">
        <f>BS4/12</f>
        <v>825</v>
      </c>
      <c r="BW4" s="28">
        <f t="shared" ref="BW4:BW44" si="2">H4+M4+R4+W4+AB4+AG4+AL4+AQ4+AV4+BA4+BF4+BK4</f>
        <v>0</v>
      </c>
      <c r="BY4" s="2">
        <v>13350</v>
      </c>
      <c r="BZ4" s="42">
        <f>BY4/BS4</f>
        <v>1.3484848484848484</v>
      </c>
      <c r="CA4" s="43">
        <v>1</v>
      </c>
      <c r="CB4" s="43">
        <v>1</v>
      </c>
      <c r="CC4" s="43">
        <v>1</v>
      </c>
      <c r="CD4" s="44">
        <f>BU4/BQ4</f>
        <v>3.1466897446992643</v>
      </c>
      <c r="CE4" s="44">
        <f>BU4/BV4</f>
        <v>17.629090909090909</v>
      </c>
      <c r="CG4" s="45">
        <f>BW4/BU4*100%</f>
        <v>0</v>
      </c>
      <c r="CH4" s="43">
        <v>1</v>
      </c>
      <c r="CI4" s="43">
        <v>1</v>
      </c>
    </row>
    <row r="5" spans="1:87" ht="19" x14ac:dyDescent="0.2">
      <c r="A5" s="4">
        <v>2</v>
      </c>
      <c r="B5" s="5">
        <v>92000281</v>
      </c>
      <c r="C5" s="4" t="s">
        <v>7</v>
      </c>
      <c r="D5" s="6" t="s">
        <v>6</v>
      </c>
      <c r="E5" s="25">
        <v>99</v>
      </c>
      <c r="F5" s="29">
        <v>5200</v>
      </c>
      <c r="G5" s="27"/>
      <c r="H5" s="27"/>
      <c r="I5" s="27">
        <v>1000</v>
      </c>
      <c r="J5" s="27">
        <f t="shared" ref="J5:J44" si="3">F5+G5-I5-H5</f>
        <v>4200</v>
      </c>
      <c r="K5" s="27">
        <f>J5</f>
        <v>4200</v>
      </c>
      <c r="L5" s="27"/>
      <c r="M5" s="27"/>
      <c r="N5" s="27">
        <v>400</v>
      </c>
      <c r="O5" s="26">
        <f t="shared" ref="O5:O44" si="4">K5+L5-N5-M5</f>
        <v>3800</v>
      </c>
      <c r="P5" s="26">
        <f t="shared" ref="P5:P44" si="5">O5</f>
        <v>3800</v>
      </c>
      <c r="Q5" s="27">
        <v>500</v>
      </c>
      <c r="R5" s="27"/>
      <c r="S5" s="27">
        <v>800</v>
      </c>
      <c r="T5" s="27">
        <f t="shared" ref="T5:T44" si="6">P5+Q5-S5-R5</f>
        <v>3500</v>
      </c>
      <c r="U5" s="27">
        <f t="shared" ref="U5:U44" si="7">T5</f>
        <v>3500</v>
      </c>
      <c r="V5" s="27"/>
      <c r="W5" s="27"/>
      <c r="X5" s="27">
        <v>300</v>
      </c>
      <c r="Y5" s="27">
        <f t="shared" ref="Y5:Y44" si="8">U5+V5-X5-W5</f>
        <v>3200</v>
      </c>
      <c r="Z5" s="27">
        <f t="shared" ref="Z5:Z44" si="9">Y5</f>
        <v>3200</v>
      </c>
      <c r="AA5" s="27"/>
      <c r="AB5" s="27"/>
      <c r="AC5" s="27">
        <v>300</v>
      </c>
      <c r="AD5" s="27">
        <f t="shared" ref="AD5:AD44" si="10">Z5+AA5-AC5-AB5</f>
        <v>2900</v>
      </c>
      <c r="AE5" s="27">
        <f t="shared" ref="AE5:AE44" si="11">AD5</f>
        <v>2900</v>
      </c>
      <c r="AF5" s="27"/>
      <c r="AG5" s="27"/>
      <c r="AH5" s="27">
        <v>600</v>
      </c>
      <c r="AI5" s="27">
        <f t="shared" ref="AI5:AI44" si="12">AE5+AF5-AH5-AG5</f>
        <v>2300</v>
      </c>
      <c r="AJ5" s="27">
        <f t="shared" ref="AJ5:AJ44" si="13">AI5</f>
        <v>2300</v>
      </c>
      <c r="AK5" s="27"/>
      <c r="AL5" s="27"/>
      <c r="AM5" s="27">
        <v>300</v>
      </c>
      <c r="AN5" s="27">
        <f t="shared" ref="AN5:AN44" si="14">AJ5+AK5-AM5-AL5</f>
        <v>2000</v>
      </c>
      <c r="AO5" s="27">
        <f t="shared" ref="AO5:AO44" si="15">AN5</f>
        <v>2000</v>
      </c>
      <c r="AP5" s="27"/>
      <c r="AQ5" s="27"/>
      <c r="AR5" s="27">
        <v>0</v>
      </c>
      <c r="AS5" s="27">
        <f t="shared" ref="AS5:AS44" si="16">AO5+AP5-AR5-AQ5</f>
        <v>2000</v>
      </c>
      <c r="AT5" s="27">
        <f t="shared" ref="AT5:AT44" si="17">AS5</f>
        <v>2000</v>
      </c>
      <c r="AU5" s="27"/>
      <c r="AV5" s="27"/>
      <c r="AW5" s="27">
        <v>0</v>
      </c>
      <c r="AX5" s="27">
        <f t="shared" ref="AX5:AX44" si="18">AT5+AU5-AW5-AV5</f>
        <v>2000</v>
      </c>
      <c r="AY5" s="27">
        <f t="shared" ref="AY5:AY44" si="19">AX5</f>
        <v>2000</v>
      </c>
      <c r="AZ5" s="27">
        <v>5000</v>
      </c>
      <c r="BA5" s="27"/>
      <c r="BB5" s="27">
        <v>0</v>
      </c>
      <c r="BC5" s="27">
        <f t="shared" ref="BC5:BC44" si="20">AY5+AZ5-BB5-BA5</f>
        <v>7000</v>
      </c>
      <c r="BD5" s="27">
        <f t="shared" ref="BD5:BD44" si="21">BC5</f>
        <v>7000</v>
      </c>
      <c r="BE5" s="27"/>
      <c r="BF5" s="27"/>
      <c r="BG5" s="27">
        <v>0</v>
      </c>
      <c r="BH5" s="27">
        <f t="shared" ref="BH5:BH44" si="22">BD5+BE5-BF5-BG5</f>
        <v>7000</v>
      </c>
      <c r="BI5" s="27">
        <f t="shared" ref="BI5:BI44" si="23">BH5</f>
        <v>7000</v>
      </c>
      <c r="BJ5" s="27"/>
      <c r="BK5" s="27"/>
      <c r="BL5" s="27">
        <v>400</v>
      </c>
      <c r="BM5" s="27">
        <f t="shared" ref="BM5:BM44" si="24">BI5+BJ5-BL5-BK5</f>
        <v>6600</v>
      </c>
      <c r="BN5" s="18">
        <f t="shared" ref="BN5:BN44" si="25">F5+K5+P5+U5+Z5+AE5+AJ5+AO5+AT5+AY5+BD5+BI5</f>
        <v>45100</v>
      </c>
      <c r="BO5" s="46">
        <f t="shared" ref="BO5:BO44" si="26">F5</f>
        <v>5200</v>
      </c>
      <c r="BP5" s="46">
        <f t="shared" ref="BP5:BP44" si="27">(BO5+BR5)-BS5</f>
        <v>6600</v>
      </c>
      <c r="BQ5" s="46">
        <f t="shared" ref="BQ5:BQ44" si="28">(BO5+BP5)/2</f>
        <v>5900</v>
      </c>
      <c r="BR5" s="18">
        <f t="shared" si="0"/>
        <v>5500</v>
      </c>
      <c r="BS5" s="18">
        <f t="shared" ref="BS5:BS44" si="29">I5+N5+S5+X5+AC5+AH5+AM5+AR5+AW5+BB5+BG5+BL5</f>
        <v>4100</v>
      </c>
      <c r="BT5" s="18">
        <f t="shared" si="1"/>
        <v>46500</v>
      </c>
      <c r="BU5" s="18">
        <f t="shared" ref="BU5:BU44" si="30">BO5+BR5</f>
        <v>10700</v>
      </c>
      <c r="BV5" s="18">
        <f t="shared" ref="BV5:BV44" si="31">BS5/12</f>
        <v>341.66666666666669</v>
      </c>
      <c r="BW5" s="28">
        <f t="shared" si="2"/>
        <v>0</v>
      </c>
      <c r="BY5" s="2">
        <v>4005</v>
      </c>
      <c r="BZ5" s="42">
        <f t="shared" ref="BZ5:BZ44" si="32">BY5/BS5</f>
        <v>0.97682926829268291</v>
      </c>
      <c r="CA5" s="43">
        <v>1</v>
      </c>
      <c r="CB5" s="43">
        <v>1</v>
      </c>
      <c r="CC5" s="43">
        <v>1</v>
      </c>
      <c r="CD5" s="44">
        <f t="shared" ref="CD5:CD44" si="33">BU5/BQ5</f>
        <v>1.8135593220338984</v>
      </c>
      <c r="CE5" s="44">
        <f t="shared" ref="CE5:CE44" si="34">BU5/BV5</f>
        <v>31.317073170731707</v>
      </c>
      <c r="CG5" s="45">
        <f t="shared" ref="CG5:CG44" si="35">BW5/BU5*100%</f>
        <v>0</v>
      </c>
      <c r="CH5" s="43">
        <v>1</v>
      </c>
      <c r="CI5" s="43">
        <v>1</v>
      </c>
    </row>
    <row r="6" spans="1:87" ht="19" x14ac:dyDescent="0.2">
      <c r="A6" s="4">
        <v>3</v>
      </c>
      <c r="B6" s="5">
        <v>92000407</v>
      </c>
      <c r="C6" s="4" t="s">
        <v>8</v>
      </c>
      <c r="D6" s="6" t="s">
        <v>6</v>
      </c>
      <c r="E6" s="25">
        <v>78.709999999999994</v>
      </c>
      <c r="F6" s="29">
        <v>10200</v>
      </c>
      <c r="G6" s="27"/>
      <c r="H6" s="27"/>
      <c r="I6" s="27">
        <v>1900</v>
      </c>
      <c r="J6" s="27">
        <f t="shared" si="3"/>
        <v>8300</v>
      </c>
      <c r="K6" s="27">
        <f t="shared" ref="K6:K44" si="36">J6</f>
        <v>8300</v>
      </c>
      <c r="L6" s="27"/>
      <c r="M6" s="27"/>
      <c r="N6" s="27">
        <v>800</v>
      </c>
      <c r="O6" s="26">
        <f t="shared" si="4"/>
        <v>7500</v>
      </c>
      <c r="P6" s="26">
        <f t="shared" si="5"/>
        <v>7500</v>
      </c>
      <c r="Q6" s="27"/>
      <c r="R6" s="27"/>
      <c r="S6" s="27">
        <v>1300</v>
      </c>
      <c r="T6" s="27">
        <f t="shared" si="6"/>
        <v>6200</v>
      </c>
      <c r="U6" s="27">
        <f t="shared" si="7"/>
        <v>6200</v>
      </c>
      <c r="V6" s="27"/>
      <c r="W6" s="27"/>
      <c r="X6" s="27">
        <v>1000</v>
      </c>
      <c r="Y6" s="27">
        <f t="shared" si="8"/>
        <v>5200</v>
      </c>
      <c r="Z6" s="27">
        <f t="shared" si="9"/>
        <v>5200</v>
      </c>
      <c r="AA6" s="27"/>
      <c r="AB6" s="27"/>
      <c r="AC6" s="27">
        <v>1100</v>
      </c>
      <c r="AD6" s="27">
        <f t="shared" si="10"/>
        <v>4100</v>
      </c>
      <c r="AE6" s="27">
        <f t="shared" si="11"/>
        <v>4100</v>
      </c>
      <c r="AF6" s="27">
        <v>5000</v>
      </c>
      <c r="AG6" s="27"/>
      <c r="AH6" s="27">
        <v>2900</v>
      </c>
      <c r="AI6" s="27">
        <f t="shared" si="12"/>
        <v>6200</v>
      </c>
      <c r="AJ6" s="27">
        <f t="shared" si="13"/>
        <v>6200</v>
      </c>
      <c r="AK6" s="27"/>
      <c r="AL6" s="27"/>
      <c r="AM6" s="27">
        <v>1900</v>
      </c>
      <c r="AN6" s="27">
        <f t="shared" si="14"/>
        <v>4300</v>
      </c>
      <c r="AO6" s="27">
        <f t="shared" si="15"/>
        <v>4300</v>
      </c>
      <c r="AP6" s="27"/>
      <c r="AQ6" s="27"/>
      <c r="AR6" s="27">
        <v>1900</v>
      </c>
      <c r="AS6" s="27">
        <f t="shared" si="16"/>
        <v>2400</v>
      </c>
      <c r="AT6" s="27">
        <f t="shared" si="17"/>
        <v>2400</v>
      </c>
      <c r="AU6" s="27">
        <v>5000</v>
      </c>
      <c r="AV6" s="27"/>
      <c r="AW6" s="27">
        <v>2500</v>
      </c>
      <c r="AX6" s="27">
        <f t="shared" si="18"/>
        <v>4900</v>
      </c>
      <c r="AY6" s="27">
        <f t="shared" si="19"/>
        <v>4900</v>
      </c>
      <c r="AZ6" s="27"/>
      <c r="BA6" s="27"/>
      <c r="BB6" s="27">
        <v>4400</v>
      </c>
      <c r="BC6" s="27">
        <f t="shared" si="20"/>
        <v>500</v>
      </c>
      <c r="BD6" s="27">
        <f t="shared" si="21"/>
        <v>500</v>
      </c>
      <c r="BE6" s="27"/>
      <c r="BF6" s="27"/>
      <c r="BG6" s="27">
        <v>500</v>
      </c>
      <c r="BH6" s="27">
        <f t="shared" si="22"/>
        <v>0</v>
      </c>
      <c r="BI6" s="27">
        <f t="shared" si="23"/>
        <v>0</v>
      </c>
      <c r="BJ6" s="27"/>
      <c r="BK6" s="27"/>
      <c r="BL6" s="27"/>
      <c r="BM6" s="27">
        <f t="shared" si="24"/>
        <v>0</v>
      </c>
      <c r="BN6" s="18">
        <f t="shared" si="25"/>
        <v>59800</v>
      </c>
      <c r="BO6" s="46">
        <f t="shared" si="26"/>
        <v>10200</v>
      </c>
      <c r="BP6" s="46">
        <f t="shared" si="27"/>
        <v>0</v>
      </c>
      <c r="BQ6" s="46">
        <f t="shared" si="28"/>
        <v>5100</v>
      </c>
      <c r="BR6" s="18">
        <f t="shared" si="0"/>
        <v>10000</v>
      </c>
      <c r="BS6" s="18">
        <f t="shared" si="29"/>
        <v>20200</v>
      </c>
      <c r="BT6" s="18">
        <f t="shared" si="1"/>
        <v>49600</v>
      </c>
      <c r="BU6" s="18">
        <f t="shared" si="30"/>
        <v>20200</v>
      </c>
      <c r="BV6" s="18">
        <f t="shared" si="31"/>
        <v>1683.3333333333333</v>
      </c>
      <c r="BW6" s="28">
        <f t="shared" si="2"/>
        <v>0</v>
      </c>
      <c r="BY6" s="2">
        <v>11880</v>
      </c>
      <c r="BZ6" s="42">
        <f t="shared" si="32"/>
        <v>0.58811881188118809</v>
      </c>
      <c r="CA6" s="43">
        <v>1</v>
      </c>
      <c r="CB6" s="43">
        <v>1</v>
      </c>
      <c r="CC6" s="43">
        <v>1</v>
      </c>
      <c r="CD6" s="44">
        <f t="shared" si="33"/>
        <v>3.9607843137254903</v>
      </c>
      <c r="CE6" s="44">
        <f t="shared" si="34"/>
        <v>12</v>
      </c>
      <c r="CG6" s="45">
        <f t="shared" si="35"/>
        <v>0</v>
      </c>
      <c r="CH6" s="43">
        <v>1</v>
      </c>
      <c r="CI6" s="43">
        <v>1</v>
      </c>
    </row>
    <row r="7" spans="1:87" ht="19" x14ac:dyDescent="0.2">
      <c r="A7" s="4">
        <v>4</v>
      </c>
      <c r="B7" s="5">
        <v>92001058</v>
      </c>
      <c r="C7" s="4" t="s">
        <v>9</v>
      </c>
      <c r="D7" s="6" t="s">
        <v>6</v>
      </c>
      <c r="E7" s="25">
        <v>61.55</v>
      </c>
      <c r="F7" s="29">
        <v>13500</v>
      </c>
      <c r="G7" s="27"/>
      <c r="H7" s="27"/>
      <c r="I7" s="27">
        <v>750</v>
      </c>
      <c r="J7" s="27">
        <f t="shared" si="3"/>
        <v>12750</v>
      </c>
      <c r="K7" s="27">
        <f t="shared" si="36"/>
        <v>12750</v>
      </c>
      <c r="L7" s="27"/>
      <c r="M7" s="27"/>
      <c r="N7" s="27">
        <v>800</v>
      </c>
      <c r="O7" s="26">
        <f t="shared" si="4"/>
        <v>11950</v>
      </c>
      <c r="P7" s="26">
        <f t="shared" si="5"/>
        <v>11950</v>
      </c>
      <c r="Q7" s="27"/>
      <c r="R7" s="27"/>
      <c r="S7" s="27">
        <v>1150</v>
      </c>
      <c r="T7" s="27">
        <f t="shared" si="6"/>
        <v>10800</v>
      </c>
      <c r="U7" s="27">
        <f t="shared" si="7"/>
        <v>10800</v>
      </c>
      <c r="V7" s="27"/>
      <c r="W7" s="27"/>
      <c r="X7" s="27">
        <v>1400</v>
      </c>
      <c r="Y7" s="27">
        <f t="shared" si="8"/>
        <v>9400</v>
      </c>
      <c r="Z7" s="27">
        <f t="shared" si="9"/>
        <v>9400</v>
      </c>
      <c r="AA7" s="27"/>
      <c r="AB7" s="27"/>
      <c r="AC7" s="27">
        <v>1050</v>
      </c>
      <c r="AD7" s="27">
        <f t="shared" si="10"/>
        <v>8350</v>
      </c>
      <c r="AE7" s="27">
        <f t="shared" si="11"/>
        <v>8350</v>
      </c>
      <c r="AF7" s="27">
        <v>5000</v>
      </c>
      <c r="AG7" s="27"/>
      <c r="AH7" s="27">
        <v>1900</v>
      </c>
      <c r="AI7" s="27">
        <f t="shared" si="12"/>
        <v>11450</v>
      </c>
      <c r="AJ7" s="27">
        <f t="shared" si="13"/>
        <v>11450</v>
      </c>
      <c r="AK7" s="27"/>
      <c r="AL7" s="27"/>
      <c r="AM7" s="27">
        <v>1750</v>
      </c>
      <c r="AN7" s="27">
        <f t="shared" si="14"/>
        <v>9700</v>
      </c>
      <c r="AO7" s="27">
        <f t="shared" si="15"/>
        <v>9700</v>
      </c>
      <c r="AP7" s="27"/>
      <c r="AQ7" s="27"/>
      <c r="AR7" s="27">
        <v>2000</v>
      </c>
      <c r="AS7" s="27">
        <f t="shared" si="16"/>
        <v>7700</v>
      </c>
      <c r="AT7" s="27">
        <f t="shared" si="17"/>
        <v>7700</v>
      </c>
      <c r="AU7" s="27"/>
      <c r="AV7" s="27"/>
      <c r="AW7" s="27">
        <v>100</v>
      </c>
      <c r="AX7" s="27">
        <f t="shared" si="18"/>
        <v>7600</v>
      </c>
      <c r="AY7" s="27">
        <f t="shared" si="19"/>
        <v>7600</v>
      </c>
      <c r="AZ7" s="27">
        <v>5000</v>
      </c>
      <c r="BA7" s="27"/>
      <c r="BB7" s="27">
        <v>1300</v>
      </c>
      <c r="BC7" s="27">
        <f t="shared" si="20"/>
        <v>11300</v>
      </c>
      <c r="BD7" s="27">
        <f t="shared" si="21"/>
        <v>11300</v>
      </c>
      <c r="BE7" s="27"/>
      <c r="BF7" s="27"/>
      <c r="BG7" s="27">
        <v>1800</v>
      </c>
      <c r="BH7" s="27">
        <f t="shared" si="22"/>
        <v>9500</v>
      </c>
      <c r="BI7" s="27">
        <f t="shared" si="23"/>
        <v>9500</v>
      </c>
      <c r="BJ7" s="27"/>
      <c r="BK7" s="27"/>
      <c r="BL7" s="27">
        <v>3000</v>
      </c>
      <c r="BM7" s="27">
        <f t="shared" si="24"/>
        <v>6500</v>
      </c>
      <c r="BN7" s="18">
        <f t="shared" si="25"/>
        <v>124000</v>
      </c>
      <c r="BO7" s="46">
        <f t="shared" si="26"/>
        <v>13500</v>
      </c>
      <c r="BP7" s="46">
        <f t="shared" si="27"/>
        <v>6500</v>
      </c>
      <c r="BQ7" s="46">
        <f t="shared" si="28"/>
        <v>10000</v>
      </c>
      <c r="BR7" s="18">
        <f t="shared" si="0"/>
        <v>10000</v>
      </c>
      <c r="BS7" s="18">
        <f t="shared" si="29"/>
        <v>17000</v>
      </c>
      <c r="BT7" s="18">
        <f t="shared" si="1"/>
        <v>117000</v>
      </c>
      <c r="BU7" s="18">
        <f t="shared" si="30"/>
        <v>23500</v>
      </c>
      <c r="BV7" s="18">
        <f t="shared" si="31"/>
        <v>1416.6666666666667</v>
      </c>
      <c r="BW7" s="28">
        <f t="shared" si="2"/>
        <v>0</v>
      </c>
      <c r="BY7" s="2">
        <v>10995</v>
      </c>
      <c r="BZ7" s="42">
        <f t="shared" si="32"/>
        <v>0.64676470588235291</v>
      </c>
      <c r="CA7" s="43">
        <v>1</v>
      </c>
      <c r="CB7" s="43">
        <v>1</v>
      </c>
      <c r="CC7" s="43">
        <v>1</v>
      </c>
      <c r="CD7" s="44">
        <f t="shared" si="33"/>
        <v>2.35</v>
      </c>
      <c r="CE7" s="44">
        <f t="shared" si="34"/>
        <v>16.588235294117645</v>
      </c>
      <c r="CG7" s="45">
        <f t="shared" si="35"/>
        <v>0</v>
      </c>
      <c r="CH7" s="43">
        <v>1</v>
      </c>
      <c r="CI7" s="43">
        <v>1</v>
      </c>
    </row>
    <row r="8" spans="1:87" ht="19" x14ac:dyDescent="0.2">
      <c r="A8" s="4">
        <v>5</v>
      </c>
      <c r="B8" s="5">
        <v>92000881</v>
      </c>
      <c r="C8" s="4" t="s">
        <v>10</v>
      </c>
      <c r="D8" s="6" t="s">
        <v>6</v>
      </c>
      <c r="E8" s="25">
        <v>251</v>
      </c>
      <c r="F8" s="29">
        <v>16700</v>
      </c>
      <c r="G8" s="27"/>
      <c r="H8" s="27"/>
      <c r="I8" s="27">
        <v>3100</v>
      </c>
      <c r="J8" s="27">
        <f t="shared" si="3"/>
        <v>13600</v>
      </c>
      <c r="K8" s="27">
        <f t="shared" si="36"/>
        <v>13600</v>
      </c>
      <c r="L8" s="27"/>
      <c r="M8" s="27"/>
      <c r="N8" s="27">
        <v>2400</v>
      </c>
      <c r="O8" s="26">
        <f t="shared" si="4"/>
        <v>11200</v>
      </c>
      <c r="P8" s="26">
        <f t="shared" si="5"/>
        <v>11200</v>
      </c>
      <c r="Q8" s="27">
        <v>21000</v>
      </c>
      <c r="R8" s="27">
        <v>6800</v>
      </c>
      <c r="S8" s="27">
        <v>5600</v>
      </c>
      <c r="T8" s="27">
        <f t="shared" si="6"/>
        <v>19800</v>
      </c>
      <c r="U8" s="27">
        <f t="shared" si="7"/>
        <v>19800</v>
      </c>
      <c r="V8" s="27"/>
      <c r="W8" s="27"/>
      <c r="X8" s="27">
        <v>2500</v>
      </c>
      <c r="Y8" s="27">
        <f t="shared" si="8"/>
        <v>17300</v>
      </c>
      <c r="Z8" s="27">
        <f t="shared" si="9"/>
        <v>17300</v>
      </c>
      <c r="AA8" s="27"/>
      <c r="AB8" s="27"/>
      <c r="AC8" s="27">
        <v>3300</v>
      </c>
      <c r="AD8" s="27">
        <f t="shared" si="10"/>
        <v>14000</v>
      </c>
      <c r="AE8" s="27">
        <f t="shared" si="11"/>
        <v>14000</v>
      </c>
      <c r="AF8" s="27">
        <v>10000</v>
      </c>
      <c r="AG8" s="27"/>
      <c r="AH8" s="27">
        <v>3700</v>
      </c>
      <c r="AI8" s="27">
        <f t="shared" si="12"/>
        <v>20300</v>
      </c>
      <c r="AJ8" s="27">
        <f t="shared" si="13"/>
        <v>20300</v>
      </c>
      <c r="AK8" s="27"/>
      <c r="AL8" s="27"/>
      <c r="AM8" s="27">
        <v>4100</v>
      </c>
      <c r="AN8" s="27">
        <f t="shared" si="14"/>
        <v>16200</v>
      </c>
      <c r="AO8" s="27">
        <f t="shared" si="15"/>
        <v>16200</v>
      </c>
      <c r="AP8" s="27"/>
      <c r="AQ8" s="27"/>
      <c r="AR8" s="27">
        <v>2700</v>
      </c>
      <c r="AS8" s="27">
        <f t="shared" si="16"/>
        <v>13500</v>
      </c>
      <c r="AT8" s="27">
        <f t="shared" si="17"/>
        <v>13500</v>
      </c>
      <c r="AU8" s="27"/>
      <c r="AV8" s="27"/>
      <c r="AW8" s="27">
        <v>2000</v>
      </c>
      <c r="AX8" s="27">
        <f t="shared" si="18"/>
        <v>11500</v>
      </c>
      <c r="AY8" s="27">
        <f t="shared" si="19"/>
        <v>11500</v>
      </c>
      <c r="AZ8" s="27"/>
      <c r="BA8" s="27"/>
      <c r="BB8" s="27">
        <v>4300</v>
      </c>
      <c r="BC8" s="27">
        <f t="shared" si="20"/>
        <v>7200</v>
      </c>
      <c r="BD8" s="27">
        <f t="shared" si="21"/>
        <v>7200</v>
      </c>
      <c r="BE8" s="27"/>
      <c r="BF8" s="27"/>
      <c r="BG8" s="27">
        <v>4200</v>
      </c>
      <c r="BH8" s="27">
        <f t="shared" si="22"/>
        <v>3000</v>
      </c>
      <c r="BI8" s="27">
        <f t="shared" si="23"/>
        <v>3000</v>
      </c>
      <c r="BJ8" s="27">
        <v>10000</v>
      </c>
      <c r="BK8" s="27"/>
      <c r="BL8" s="27">
        <v>4300</v>
      </c>
      <c r="BM8" s="27">
        <f t="shared" si="24"/>
        <v>8700</v>
      </c>
      <c r="BN8" s="18">
        <f t="shared" si="25"/>
        <v>164300</v>
      </c>
      <c r="BO8" s="46">
        <f t="shared" si="26"/>
        <v>16700</v>
      </c>
      <c r="BP8" s="46">
        <f t="shared" si="27"/>
        <v>15500</v>
      </c>
      <c r="BQ8" s="46">
        <f t="shared" si="28"/>
        <v>16100</v>
      </c>
      <c r="BR8" s="18">
        <f t="shared" si="0"/>
        <v>41000</v>
      </c>
      <c r="BS8" s="18">
        <f t="shared" si="29"/>
        <v>42200</v>
      </c>
      <c r="BT8" s="18">
        <f t="shared" si="1"/>
        <v>163100</v>
      </c>
      <c r="BU8" s="18">
        <f t="shared" si="30"/>
        <v>57700</v>
      </c>
      <c r="BV8" s="18">
        <f t="shared" si="31"/>
        <v>3516.6666666666665</v>
      </c>
      <c r="BW8" s="28">
        <f t="shared" si="2"/>
        <v>6800</v>
      </c>
      <c r="BY8" s="2">
        <v>72255</v>
      </c>
      <c r="BZ8" s="42">
        <f t="shared" si="32"/>
        <v>1.7122037914691943</v>
      </c>
      <c r="CA8" s="43">
        <v>1</v>
      </c>
      <c r="CB8" s="43">
        <v>1</v>
      </c>
      <c r="CC8" s="43">
        <v>1</v>
      </c>
      <c r="CD8" s="44">
        <f t="shared" si="33"/>
        <v>3.5838509316770186</v>
      </c>
      <c r="CE8" s="44">
        <f t="shared" si="34"/>
        <v>16.407582938388625</v>
      </c>
      <c r="CG8" s="45">
        <f t="shared" si="35"/>
        <v>0.11785095320623917</v>
      </c>
      <c r="CH8" s="43">
        <v>1</v>
      </c>
      <c r="CI8" s="43">
        <v>1</v>
      </c>
    </row>
    <row r="9" spans="1:87" ht="19" x14ac:dyDescent="0.2">
      <c r="A9" s="4">
        <v>6</v>
      </c>
      <c r="B9" s="5">
        <v>92000798</v>
      </c>
      <c r="C9" s="4" t="s">
        <v>11</v>
      </c>
      <c r="D9" s="6" t="s">
        <v>6</v>
      </c>
      <c r="E9" s="25">
        <v>55</v>
      </c>
      <c r="F9" s="29">
        <v>11000</v>
      </c>
      <c r="G9" s="27"/>
      <c r="H9" s="27"/>
      <c r="I9" s="27">
        <v>1800</v>
      </c>
      <c r="J9" s="27">
        <f t="shared" si="3"/>
        <v>9200</v>
      </c>
      <c r="K9" s="27">
        <f t="shared" si="36"/>
        <v>9200</v>
      </c>
      <c r="L9" s="27"/>
      <c r="M9" s="27"/>
      <c r="N9" s="27">
        <v>2200</v>
      </c>
      <c r="O9" s="26">
        <f t="shared" si="4"/>
        <v>7000</v>
      </c>
      <c r="P9" s="26">
        <f t="shared" si="5"/>
        <v>7000</v>
      </c>
      <c r="Q9" s="27"/>
      <c r="R9" s="27"/>
      <c r="S9" s="27">
        <v>2600</v>
      </c>
      <c r="T9" s="27">
        <f t="shared" si="6"/>
        <v>4400</v>
      </c>
      <c r="U9" s="27">
        <f t="shared" si="7"/>
        <v>4400</v>
      </c>
      <c r="V9" s="27"/>
      <c r="W9" s="27"/>
      <c r="X9" s="27">
        <v>1800</v>
      </c>
      <c r="Y9" s="27">
        <f t="shared" si="8"/>
        <v>2600</v>
      </c>
      <c r="Z9" s="27">
        <f t="shared" si="9"/>
        <v>2600</v>
      </c>
      <c r="AA9" s="27"/>
      <c r="AB9" s="27"/>
      <c r="AC9" s="27">
        <v>2100</v>
      </c>
      <c r="AD9" s="27">
        <f t="shared" si="10"/>
        <v>500</v>
      </c>
      <c r="AE9" s="27">
        <f t="shared" si="11"/>
        <v>500</v>
      </c>
      <c r="AF9" s="27">
        <v>16800</v>
      </c>
      <c r="AG9" s="27"/>
      <c r="AH9" s="27">
        <v>2400</v>
      </c>
      <c r="AI9" s="27">
        <f t="shared" si="12"/>
        <v>14900</v>
      </c>
      <c r="AJ9" s="27">
        <f t="shared" si="13"/>
        <v>14900</v>
      </c>
      <c r="AK9" s="27"/>
      <c r="AL9" s="27"/>
      <c r="AM9" s="27">
        <v>2300</v>
      </c>
      <c r="AN9" s="27">
        <f t="shared" si="14"/>
        <v>12600</v>
      </c>
      <c r="AO9" s="27">
        <f t="shared" si="15"/>
        <v>12600</v>
      </c>
      <c r="AP9" s="27"/>
      <c r="AQ9" s="27"/>
      <c r="AR9" s="27">
        <v>2800</v>
      </c>
      <c r="AS9" s="27">
        <f t="shared" si="16"/>
        <v>9800</v>
      </c>
      <c r="AT9" s="27">
        <f t="shared" si="17"/>
        <v>9800</v>
      </c>
      <c r="AU9" s="27">
        <v>17000</v>
      </c>
      <c r="AV9" s="27"/>
      <c r="AW9" s="27">
        <v>1600</v>
      </c>
      <c r="AX9" s="27">
        <f t="shared" si="18"/>
        <v>25200</v>
      </c>
      <c r="AY9" s="27">
        <f t="shared" si="19"/>
        <v>25200</v>
      </c>
      <c r="AZ9" s="27"/>
      <c r="BA9" s="27"/>
      <c r="BB9" s="27">
        <v>3200</v>
      </c>
      <c r="BC9" s="27">
        <f t="shared" si="20"/>
        <v>22000</v>
      </c>
      <c r="BD9" s="27">
        <f t="shared" si="21"/>
        <v>22000</v>
      </c>
      <c r="BE9" s="27"/>
      <c r="BF9" s="27"/>
      <c r="BG9" s="27">
        <v>1900</v>
      </c>
      <c r="BH9" s="27">
        <f t="shared" si="22"/>
        <v>20100</v>
      </c>
      <c r="BI9" s="27">
        <f t="shared" si="23"/>
        <v>20100</v>
      </c>
      <c r="BJ9" s="27"/>
      <c r="BK9" s="27"/>
      <c r="BL9" s="27">
        <v>2400</v>
      </c>
      <c r="BM9" s="27">
        <f t="shared" si="24"/>
        <v>17700</v>
      </c>
      <c r="BN9" s="18">
        <f t="shared" si="25"/>
        <v>139300</v>
      </c>
      <c r="BO9" s="46">
        <f t="shared" si="26"/>
        <v>11000</v>
      </c>
      <c r="BP9" s="46">
        <f t="shared" si="27"/>
        <v>17700</v>
      </c>
      <c r="BQ9" s="46">
        <f t="shared" si="28"/>
        <v>14350</v>
      </c>
      <c r="BR9" s="18">
        <f t="shared" si="0"/>
        <v>33800</v>
      </c>
      <c r="BS9" s="18">
        <f t="shared" si="29"/>
        <v>27100</v>
      </c>
      <c r="BT9" s="18">
        <f t="shared" si="1"/>
        <v>146000</v>
      </c>
      <c r="BU9" s="18">
        <f t="shared" si="30"/>
        <v>44800</v>
      </c>
      <c r="BV9" s="18">
        <f t="shared" si="31"/>
        <v>2258.3333333333335</v>
      </c>
      <c r="BW9" s="28">
        <f t="shared" si="2"/>
        <v>0</v>
      </c>
      <c r="BY9" s="2">
        <v>37245</v>
      </c>
      <c r="BZ9" s="42">
        <f t="shared" si="32"/>
        <v>1.3743542435424354</v>
      </c>
      <c r="CA9" s="43">
        <v>1</v>
      </c>
      <c r="CB9" s="43">
        <v>1</v>
      </c>
      <c r="CC9" s="43">
        <v>1</v>
      </c>
      <c r="CD9" s="44">
        <f t="shared" si="33"/>
        <v>3.1219512195121952</v>
      </c>
      <c r="CE9" s="44">
        <f t="shared" si="34"/>
        <v>19.837638376383762</v>
      </c>
      <c r="CG9" s="45">
        <f t="shared" si="35"/>
        <v>0</v>
      </c>
      <c r="CH9" s="43">
        <v>1</v>
      </c>
      <c r="CI9" s="43">
        <v>1</v>
      </c>
    </row>
    <row r="10" spans="1:87" ht="19" x14ac:dyDescent="0.2">
      <c r="A10" s="4">
        <v>7</v>
      </c>
      <c r="B10" s="5">
        <v>92000653</v>
      </c>
      <c r="C10" s="5" t="s">
        <v>12</v>
      </c>
      <c r="D10" s="7" t="s">
        <v>6</v>
      </c>
      <c r="E10" s="30">
        <v>265</v>
      </c>
      <c r="F10" s="29">
        <v>12800</v>
      </c>
      <c r="G10" s="27">
        <v>48800</v>
      </c>
      <c r="H10" s="27"/>
      <c r="I10" s="27">
        <v>11300</v>
      </c>
      <c r="J10" s="27">
        <f t="shared" si="3"/>
        <v>50300</v>
      </c>
      <c r="K10" s="27">
        <f t="shared" si="36"/>
        <v>50300</v>
      </c>
      <c r="L10" s="27"/>
      <c r="M10" s="27"/>
      <c r="N10" s="27">
        <v>6300</v>
      </c>
      <c r="O10" s="26">
        <f t="shared" si="4"/>
        <v>44000</v>
      </c>
      <c r="P10" s="26">
        <f t="shared" si="5"/>
        <v>44000</v>
      </c>
      <c r="Q10" s="27"/>
      <c r="R10" s="27"/>
      <c r="S10" s="27">
        <v>6200</v>
      </c>
      <c r="T10" s="27">
        <f t="shared" si="6"/>
        <v>37800</v>
      </c>
      <c r="U10" s="27">
        <f t="shared" si="7"/>
        <v>37800</v>
      </c>
      <c r="V10" s="27"/>
      <c r="W10" s="27"/>
      <c r="X10" s="27">
        <v>21900</v>
      </c>
      <c r="Y10" s="27">
        <f t="shared" si="8"/>
        <v>15900</v>
      </c>
      <c r="Z10" s="27">
        <f t="shared" si="9"/>
        <v>15900</v>
      </c>
      <c r="AA10" s="27"/>
      <c r="AB10" s="27"/>
      <c r="AC10" s="27">
        <v>10400</v>
      </c>
      <c r="AD10" s="27">
        <f t="shared" si="10"/>
        <v>5500</v>
      </c>
      <c r="AE10" s="27">
        <f t="shared" si="11"/>
        <v>5500</v>
      </c>
      <c r="AF10" s="27">
        <v>60000</v>
      </c>
      <c r="AG10" s="27"/>
      <c r="AH10" s="27">
        <v>5900</v>
      </c>
      <c r="AI10" s="27">
        <f t="shared" si="12"/>
        <v>59600</v>
      </c>
      <c r="AJ10" s="27">
        <f t="shared" si="13"/>
        <v>59600</v>
      </c>
      <c r="AK10" s="27"/>
      <c r="AL10" s="27"/>
      <c r="AM10" s="27">
        <v>18800</v>
      </c>
      <c r="AN10" s="27">
        <f t="shared" si="14"/>
        <v>40800</v>
      </c>
      <c r="AO10" s="27">
        <f t="shared" si="15"/>
        <v>40800</v>
      </c>
      <c r="AP10" s="27"/>
      <c r="AQ10" s="27"/>
      <c r="AR10" s="27">
        <v>13300</v>
      </c>
      <c r="AS10" s="27">
        <f t="shared" si="16"/>
        <v>27500</v>
      </c>
      <c r="AT10" s="27">
        <f t="shared" si="17"/>
        <v>27500</v>
      </c>
      <c r="AU10" s="27"/>
      <c r="AV10" s="27"/>
      <c r="AW10" s="27">
        <v>3500</v>
      </c>
      <c r="AX10" s="27">
        <f t="shared" si="18"/>
        <v>24000</v>
      </c>
      <c r="AY10" s="27">
        <f t="shared" si="19"/>
        <v>24000</v>
      </c>
      <c r="AZ10" s="27"/>
      <c r="BA10" s="27"/>
      <c r="BB10" s="27">
        <v>4600</v>
      </c>
      <c r="BC10" s="27">
        <f t="shared" si="20"/>
        <v>19400</v>
      </c>
      <c r="BD10" s="27">
        <f t="shared" si="21"/>
        <v>19400</v>
      </c>
      <c r="BE10" s="27"/>
      <c r="BF10" s="27"/>
      <c r="BG10" s="27">
        <v>3200</v>
      </c>
      <c r="BH10" s="27">
        <f t="shared" si="22"/>
        <v>16200</v>
      </c>
      <c r="BI10" s="27">
        <f t="shared" si="23"/>
        <v>16200</v>
      </c>
      <c r="BJ10" s="27"/>
      <c r="BK10" s="27"/>
      <c r="BL10" s="27">
        <v>13400</v>
      </c>
      <c r="BM10" s="27">
        <f t="shared" si="24"/>
        <v>2800</v>
      </c>
      <c r="BN10" s="18">
        <f t="shared" si="25"/>
        <v>353800</v>
      </c>
      <c r="BO10" s="46">
        <f t="shared" si="26"/>
        <v>12800</v>
      </c>
      <c r="BP10" s="46">
        <f t="shared" si="27"/>
        <v>2800</v>
      </c>
      <c r="BQ10" s="46">
        <f t="shared" si="28"/>
        <v>7800</v>
      </c>
      <c r="BR10" s="18">
        <f t="shared" si="0"/>
        <v>108800</v>
      </c>
      <c r="BS10" s="18">
        <f t="shared" si="29"/>
        <v>118800</v>
      </c>
      <c r="BT10" s="18">
        <f t="shared" si="1"/>
        <v>343800</v>
      </c>
      <c r="BU10" s="18">
        <f t="shared" si="30"/>
        <v>121600</v>
      </c>
      <c r="BV10" s="18">
        <f t="shared" si="31"/>
        <v>9900</v>
      </c>
      <c r="BW10" s="28">
        <f t="shared" si="2"/>
        <v>0</v>
      </c>
      <c r="BY10" s="2">
        <v>50000</v>
      </c>
      <c r="BZ10" s="42">
        <f t="shared" si="32"/>
        <v>0.4208754208754209</v>
      </c>
      <c r="CA10" s="43">
        <v>1</v>
      </c>
      <c r="CB10" s="43">
        <v>1</v>
      </c>
      <c r="CC10" s="43">
        <v>1</v>
      </c>
      <c r="CD10" s="44">
        <f t="shared" si="33"/>
        <v>15.589743589743589</v>
      </c>
      <c r="CE10" s="44">
        <f t="shared" si="34"/>
        <v>12.282828282828282</v>
      </c>
      <c r="CG10" s="45">
        <f t="shared" si="35"/>
        <v>0</v>
      </c>
      <c r="CH10" s="43">
        <v>1</v>
      </c>
      <c r="CI10" s="43">
        <v>1</v>
      </c>
    </row>
    <row r="11" spans="1:87" ht="19" x14ac:dyDescent="0.2">
      <c r="A11" s="4">
        <v>8</v>
      </c>
      <c r="B11" s="5">
        <v>91000255</v>
      </c>
      <c r="C11" s="4" t="s">
        <v>13</v>
      </c>
      <c r="D11" s="6" t="s">
        <v>6</v>
      </c>
      <c r="E11" s="25">
        <v>141</v>
      </c>
      <c r="F11" s="29">
        <v>0</v>
      </c>
      <c r="G11" s="27"/>
      <c r="H11" s="27"/>
      <c r="I11" s="27">
        <v>0</v>
      </c>
      <c r="J11" s="27">
        <f t="shared" si="3"/>
        <v>0</v>
      </c>
      <c r="K11" s="27">
        <f t="shared" si="36"/>
        <v>0</v>
      </c>
      <c r="L11" s="27"/>
      <c r="M11" s="27"/>
      <c r="N11" s="27">
        <v>0</v>
      </c>
      <c r="O11" s="26">
        <f t="shared" si="4"/>
        <v>0</v>
      </c>
      <c r="P11" s="26">
        <f t="shared" si="5"/>
        <v>0</v>
      </c>
      <c r="Q11" s="27"/>
      <c r="R11" s="27"/>
      <c r="S11" s="27">
        <v>0</v>
      </c>
      <c r="T11" s="27">
        <f t="shared" si="6"/>
        <v>0</v>
      </c>
      <c r="U11" s="27">
        <f t="shared" si="7"/>
        <v>0</v>
      </c>
      <c r="V11" s="27"/>
      <c r="W11" s="27"/>
      <c r="X11" s="27">
        <v>0</v>
      </c>
      <c r="Y11" s="27">
        <f t="shared" si="8"/>
        <v>0</v>
      </c>
      <c r="Z11" s="27">
        <f t="shared" si="9"/>
        <v>0</v>
      </c>
      <c r="AA11" s="27"/>
      <c r="AB11" s="27"/>
      <c r="AC11" s="27">
        <v>0</v>
      </c>
      <c r="AD11" s="27">
        <f t="shared" si="10"/>
        <v>0</v>
      </c>
      <c r="AE11" s="27">
        <f t="shared" si="11"/>
        <v>0</v>
      </c>
      <c r="AF11" s="27"/>
      <c r="AG11" s="27"/>
      <c r="AH11" s="27">
        <v>0</v>
      </c>
      <c r="AI11" s="27">
        <f t="shared" si="12"/>
        <v>0</v>
      </c>
      <c r="AJ11" s="27">
        <f t="shared" si="13"/>
        <v>0</v>
      </c>
      <c r="AK11" s="27"/>
      <c r="AL11" s="27"/>
      <c r="AM11" s="27">
        <v>0</v>
      </c>
      <c r="AN11" s="27">
        <f t="shared" si="14"/>
        <v>0</v>
      </c>
      <c r="AO11" s="27">
        <f t="shared" si="15"/>
        <v>0</v>
      </c>
      <c r="AP11" s="27"/>
      <c r="AQ11" s="27"/>
      <c r="AR11" s="27">
        <v>0</v>
      </c>
      <c r="AS11" s="27">
        <f t="shared" si="16"/>
        <v>0</v>
      </c>
      <c r="AT11" s="27">
        <f t="shared" si="17"/>
        <v>0</v>
      </c>
      <c r="AU11" s="27"/>
      <c r="AV11" s="27"/>
      <c r="AW11" s="27">
        <v>0</v>
      </c>
      <c r="AX11" s="27">
        <f t="shared" si="18"/>
        <v>0</v>
      </c>
      <c r="AY11" s="27">
        <f t="shared" si="19"/>
        <v>0</v>
      </c>
      <c r="AZ11" s="27"/>
      <c r="BA11" s="27"/>
      <c r="BB11" s="27">
        <v>0</v>
      </c>
      <c r="BC11" s="27">
        <f t="shared" si="20"/>
        <v>0</v>
      </c>
      <c r="BD11" s="27">
        <f t="shared" si="21"/>
        <v>0</v>
      </c>
      <c r="BE11" s="27"/>
      <c r="BF11" s="27"/>
      <c r="BG11" s="27">
        <v>0</v>
      </c>
      <c r="BH11" s="27">
        <f t="shared" si="22"/>
        <v>0</v>
      </c>
      <c r="BI11" s="27">
        <f t="shared" si="23"/>
        <v>0</v>
      </c>
      <c r="BJ11" s="27">
        <v>3000</v>
      </c>
      <c r="BK11" s="27"/>
      <c r="BL11" s="27">
        <v>0</v>
      </c>
      <c r="BM11" s="27">
        <f t="shared" si="24"/>
        <v>3000</v>
      </c>
      <c r="BN11" s="18">
        <f t="shared" si="25"/>
        <v>0</v>
      </c>
      <c r="BO11" s="46">
        <v>3000</v>
      </c>
      <c r="BP11" s="46">
        <f t="shared" si="27"/>
        <v>6000</v>
      </c>
      <c r="BQ11" s="46">
        <f t="shared" si="28"/>
        <v>4500</v>
      </c>
      <c r="BR11" s="18">
        <f t="shared" si="0"/>
        <v>3000</v>
      </c>
      <c r="BS11" s="18">
        <f t="shared" si="29"/>
        <v>0</v>
      </c>
      <c r="BT11" s="18">
        <f t="shared" si="1"/>
        <v>3000</v>
      </c>
      <c r="BU11" s="18">
        <f t="shared" si="30"/>
        <v>6000</v>
      </c>
      <c r="BV11" s="18">
        <f t="shared" si="31"/>
        <v>0</v>
      </c>
      <c r="BW11" s="28">
        <f t="shared" si="2"/>
        <v>0</v>
      </c>
      <c r="BY11" s="2">
        <v>25000</v>
      </c>
      <c r="BZ11" s="42" t="e">
        <f>BY11/BS11</f>
        <v>#DIV/0!</v>
      </c>
      <c r="CA11" s="43">
        <v>1</v>
      </c>
      <c r="CB11" s="43">
        <v>1</v>
      </c>
      <c r="CC11" s="43">
        <v>1</v>
      </c>
      <c r="CD11" s="44">
        <f t="shared" si="33"/>
        <v>1.3333333333333333</v>
      </c>
      <c r="CE11" s="44" t="e">
        <f t="shared" si="34"/>
        <v>#DIV/0!</v>
      </c>
      <c r="CG11" s="45">
        <f t="shared" si="35"/>
        <v>0</v>
      </c>
      <c r="CH11" s="43">
        <v>1</v>
      </c>
      <c r="CI11" s="43">
        <v>1</v>
      </c>
    </row>
    <row r="12" spans="1:87" ht="19" x14ac:dyDescent="0.2">
      <c r="A12" s="4">
        <v>9</v>
      </c>
      <c r="B12" s="5">
        <v>92000139</v>
      </c>
      <c r="C12" s="4" t="s">
        <v>14</v>
      </c>
      <c r="D12" s="6" t="s">
        <v>6</v>
      </c>
      <c r="E12" s="31">
        <f>21642/100</f>
        <v>216.42</v>
      </c>
      <c r="F12" s="29">
        <v>3900</v>
      </c>
      <c r="G12" s="27"/>
      <c r="H12" s="27"/>
      <c r="I12" s="27">
        <v>100</v>
      </c>
      <c r="J12" s="27">
        <f t="shared" si="3"/>
        <v>3800</v>
      </c>
      <c r="K12" s="27">
        <f t="shared" si="36"/>
        <v>3800</v>
      </c>
      <c r="L12" s="27"/>
      <c r="M12" s="27"/>
      <c r="N12" s="27">
        <v>200</v>
      </c>
      <c r="O12" s="26">
        <f t="shared" si="4"/>
        <v>3600</v>
      </c>
      <c r="P12" s="26">
        <f t="shared" si="5"/>
        <v>3600</v>
      </c>
      <c r="Q12" s="27"/>
      <c r="R12" s="27"/>
      <c r="S12" s="27">
        <v>100</v>
      </c>
      <c r="T12" s="27">
        <f t="shared" si="6"/>
        <v>3500</v>
      </c>
      <c r="U12" s="27">
        <f t="shared" si="7"/>
        <v>3500</v>
      </c>
      <c r="V12" s="27"/>
      <c r="W12" s="27"/>
      <c r="X12" s="27">
        <v>600</v>
      </c>
      <c r="Y12" s="27">
        <f t="shared" si="8"/>
        <v>2900</v>
      </c>
      <c r="Z12" s="27">
        <f t="shared" si="9"/>
        <v>2900</v>
      </c>
      <c r="AA12" s="27"/>
      <c r="AB12" s="27"/>
      <c r="AC12" s="27">
        <v>400</v>
      </c>
      <c r="AD12" s="27">
        <f t="shared" si="10"/>
        <v>2500</v>
      </c>
      <c r="AE12" s="27">
        <f t="shared" si="11"/>
        <v>2500</v>
      </c>
      <c r="AF12" s="27"/>
      <c r="AG12" s="27"/>
      <c r="AH12" s="27">
        <v>400</v>
      </c>
      <c r="AI12" s="27">
        <f t="shared" si="12"/>
        <v>2100</v>
      </c>
      <c r="AJ12" s="27">
        <f t="shared" si="13"/>
        <v>2100</v>
      </c>
      <c r="AK12" s="27"/>
      <c r="AL12" s="27"/>
      <c r="AM12" s="27">
        <v>200</v>
      </c>
      <c r="AN12" s="27">
        <f t="shared" si="14"/>
        <v>1900</v>
      </c>
      <c r="AO12" s="27">
        <f t="shared" si="15"/>
        <v>1900</v>
      </c>
      <c r="AP12" s="27"/>
      <c r="AQ12" s="27"/>
      <c r="AR12" s="27">
        <v>100</v>
      </c>
      <c r="AS12" s="27">
        <f t="shared" si="16"/>
        <v>1800</v>
      </c>
      <c r="AT12" s="27">
        <f t="shared" si="17"/>
        <v>1800</v>
      </c>
      <c r="AU12" s="27"/>
      <c r="AV12" s="27"/>
      <c r="AW12" s="27">
        <v>1600</v>
      </c>
      <c r="AX12" s="27">
        <f t="shared" si="18"/>
        <v>200</v>
      </c>
      <c r="AY12" s="27">
        <f t="shared" si="19"/>
        <v>200</v>
      </c>
      <c r="AZ12" s="27"/>
      <c r="BA12" s="27"/>
      <c r="BB12" s="27">
        <v>200</v>
      </c>
      <c r="BC12" s="27">
        <f t="shared" si="20"/>
        <v>0</v>
      </c>
      <c r="BD12" s="27">
        <f t="shared" si="21"/>
        <v>0</v>
      </c>
      <c r="BE12" s="27"/>
      <c r="BF12" s="27"/>
      <c r="BG12" s="27">
        <v>0</v>
      </c>
      <c r="BH12" s="27">
        <f t="shared" si="22"/>
        <v>0</v>
      </c>
      <c r="BI12" s="27">
        <f t="shared" si="23"/>
        <v>0</v>
      </c>
      <c r="BJ12" s="27"/>
      <c r="BK12" s="27"/>
      <c r="BL12" s="27">
        <v>0</v>
      </c>
      <c r="BM12" s="27">
        <f t="shared" si="24"/>
        <v>0</v>
      </c>
      <c r="BN12" s="18">
        <f t="shared" si="25"/>
        <v>26200</v>
      </c>
      <c r="BO12" s="46">
        <f t="shared" si="26"/>
        <v>3900</v>
      </c>
      <c r="BP12" s="46">
        <f t="shared" si="27"/>
        <v>0</v>
      </c>
      <c r="BQ12" s="46">
        <f t="shared" si="28"/>
        <v>1950</v>
      </c>
      <c r="BR12" s="18">
        <f t="shared" si="0"/>
        <v>0</v>
      </c>
      <c r="BS12" s="18">
        <f t="shared" si="29"/>
        <v>3900</v>
      </c>
      <c r="BT12" s="18">
        <f t="shared" si="1"/>
        <v>22300</v>
      </c>
      <c r="BU12" s="18">
        <f t="shared" si="30"/>
        <v>3900</v>
      </c>
      <c r="BV12" s="18">
        <f t="shared" si="31"/>
        <v>325</v>
      </c>
      <c r="BW12" s="28">
        <f t="shared" si="2"/>
        <v>0</v>
      </c>
      <c r="BY12" s="2">
        <v>10000</v>
      </c>
      <c r="BZ12" s="42">
        <f t="shared" si="32"/>
        <v>2.5641025641025643</v>
      </c>
      <c r="CA12" s="43">
        <v>1</v>
      </c>
      <c r="CB12" s="43">
        <v>1</v>
      </c>
      <c r="CC12" s="43">
        <v>1</v>
      </c>
      <c r="CD12" s="44">
        <f t="shared" si="33"/>
        <v>2</v>
      </c>
      <c r="CE12" s="44">
        <f t="shared" si="34"/>
        <v>12</v>
      </c>
      <c r="CG12" s="45">
        <f t="shared" si="35"/>
        <v>0</v>
      </c>
      <c r="CH12" s="43">
        <v>1</v>
      </c>
      <c r="CI12" s="43">
        <v>1</v>
      </c>
    </row>
    <row r="13" spans="1:87" ht="19" x14ac:dyDescent="0.2">
      <c r="A13" s="4">
        <v>10</v>
      </c>
      <c r="B13" s="5">
        <v>92000403</v>
      </c>
      <c r="C13" s="4" t="s">
        <v>15</v>
      </c>
      <c r="D13" s="6" t="s">
        <v>16</v>
      </c>
      <c r="E13" s="25">
        <v>2109</v>
      </c>
      <c r="F13" s="29">
        <v>253</v>
      </c>
      <c r="G13" s="27"/>
      <c r="H13" s="27"/>
      <c r="I13" s="27">
        <v>81</v>
      </c>
      <c r="J13" s="27">
        <f t="shared" si="3"/>
        <v>172</v>
      </c>
      <c r="K13" s="27">
        <f t="shared" si="36"/>
        <v>172</v>
      </c>
      <c r="L13" s="27"/>
      <c r="M13" s="27"/>
      <c r="N13" s="27">
        <v>41</v>
      </c>
      <c r="O13" s="26">
        <f t="shared" si="4"/>
        <v>131</v>
      </c>
      <c r="P13" s="26">
        <f t="shared" si="5"/>
        <v>131</v>
      </c>
      <c r="Q13" s="27"/>
      <c r="R13" s="27"/>
      <c r="S13" s="27">
        <v>31</v>
      </c>
      <c r="T13" s="27">
        <f t="shared" si="6"/>
        <v>100</v>
      </c>
      <c r="U13" s="27">
        <f t="shared" si="7"/>
        <v>100</v>
      </c>
      <c r="V13" s="27"/>
      <c r="W13" s="27"/>
      <c r="X13" s="27">
        <v>75</v>
      </c>
      <c r="Y13" s="27">
        <f t="shared" si="8"/>
        <v>25</v>
      </c>
      <c r="Z13" s="27">
        <f t="shared" si="9"/>
        <v>25</v>
      </c>
      <c r="AA13" s="27"/>
      <c r="AB13" s="27"/>
      <c r="AC13" s="27">
        <v>25</v>
      </c>
      <c r="AD13" s="27">
        <f t="shared" si="10"/>
        <v>0</v>
      </c>
      <c r="AE13" s="27">
        <f t="shared" si="11"/>
        <v>0</v>
      </c>
      <c r="AF13" s="27">
        <v>120</v>
      </c>
      <c r="AG13" s="27"/>
      <c r="AH13" s="27">
        <v>24</v>
      </c>
      <c r="AI13" s="27">
        <f t="shared" si="12"/>
        <v>96</v>
      </c>
      <c r="AJ13" s="27">
        <f t="shared" si="13"/>
        <v>96</v>
      </c>
      <c r="AK13" s="27"/>
      <c r="AL13" s="27"/>
      <c r="AM13" s="27">
        <v>48</v>
      </c>
      <c r="AN13" s="27">
        <f t="shared" si="14"/>
        <v>48</v>
      </c>
      <c r="AO13" s="27">
        <f t="shared" si="15"/>
        <v>48</v>
      </c>
      <c r="AP13" s="27"/>
      <c r="AQ13" s="27"/>
      <c r="AR13" s="27">
        <v>48</v>
      </c>
      <c r="AS13" s="27">
        <f t="shared" si="16"/>
        <v>0</v>
      </c>
      <c r="AT13" s="27">
        <f t="shared" si="17"/>
        <v>0</v>
      </c>
      <c r="AU13" s="27">
        <v>48</v>
      </c>
      <c r="AV13" s="27"/>
      <c r="AW13" s="27">
        <v>2</v>
      </c>
      <c r="AX13" s="27">
        <f t="shared" si="18"/>
        <v>46</v>
      </c>
      <c r="AY13" s="27">
        <f t="shared" si="19"/>
        <v>46</v>
      </c>
      <c r="AZ13" s="27"/>
      <c r="BA13" s="27"/>
      <c r="BB13" s="27">
        <v>46</v>
      </c>
      <c r="BC13" s="27">
        <f t="shared" si="20"/>
        <v>0</v>
      </c>
      <c r="BD13" s="27">
        <f t="shared" si="21"/>
        <v>0</v>
      </c>
      <c r="BE13" s="27"/>
      <c r="BF13" s="27"/>
      <c r="BG13" s="27">
        <v>0</v>
      </c>
      <c r="BH13" s="27">
        <f t="shared" si="22"/>
        <v>0</v>
      </c>
      <c r="BI13" s="27">
        <f t="shared" si="23"/>
        <v>0</v>
      </c>
      <c r="BJ13" s="27"/>
      <c r="BK13" s="27"/>
      <c r="BL13" s="27">
        <v>0</v>
      </c>
      <c r="BM13" s="27">
        <f t="shared" si="24"/>
        <v>0</v>
      </c>
      <c r="BN13" s="18">
        <f t="shared" si="25"/>
        <v>871</v>
      </c>
      <c r="BO13" s="46">
        <f t="shared" si="26"/>
        <v>253</v>
      </c>
      <c r="BP13" s="46">
        <f t="shared" si="27"/>
        <v>0</v>
      </c>
      <c r="BQ13" s="46">
        <f t="shared" si="28"/>
        <v>126.5</v>
      </c>
      <c r="BR13" s="18">
        <f t="shared" si="0"/>
        <v>168</v>
      </c>
      <c r="BS13" s="18">
        <f t="shared" si="29"/>
        <v>421</v>
      </c>
      <c r="BT13" s="18">
        <f t="shared" si="1"/>
        <v>618</v>
      </c>
      <c r="BU13" s="18">
        <f t="shared" si="30"/>
        <v>421</v>
      </c>
      <c r="BV13" s="18">
        <f t="shared" si="31"/>
        <v>35.083333333333336</v>
      </c>
      <c r="BW13" s="28">
        <f t="shared" si="2"/>
        <v>0</v>
      </c>
      <c r="BY13" s="2">
        <v>1000</v>
      </c>
      <c r="BZ13" s="42">
        <f t="shared" si="32"/>
        <v>2.3752969121140142</v>
      </c>
      <c r="CA13" s="43">
        <v>1</v>
      </c>
      <c r="CB13" s="43">
        <v>1</v>
      </c>
      <c r="CC13" s="43">
        <v>1</v>
      </c>
      <c r="CD13" s="44">
        <f t="shared" si="33"/>
        <v>3.3280632411067192</v>
      </c>
      <c r="CE13" s="44">
        <f t="shared" si="34"/>
        <v>12</v>
      </c>
      <c r="CG13" s="45">
        <f t="shared" si="35"/>
        <v>0</v>
      </c>
      <c r="CH13" s="43">
        <v>1</v>
      </c>
      <c r="CI13" s="43">
        <v>1</v>
      </c>
    </row>
    <row r="14" spans="1:87" ht="19" x14ac:dyDescent="0.2">
      <c r="A14" s="4">
        <v>11</v>
      </c>
      <c r="B14" s="5">
        <v>92000517</v>
      </c>
      <c r="C14" s="5" t="s">
        <v>17</v>
      </c>
      <c r="D14" s="7" t="s">
        <v>6</v>
      </c>
      <c r="E14" s="30">
        <f>10156.5/100</f>
        <v>101.565</v>
      </c>
      <c r="F14" s="29">
        <v>25000</v>
      </c>
      <c r="G14" s="27"/>
      <c r="H14" s="27"/>
      <c r="I14" s="27">
        <v>15100</v>
      </c>
      <c r="J14" s="27">
        <f t="shared" si="3"/>
        <v>9900</v>
      </c>
      <c r="K14" s="27">
        <f t="shared" si="36"/>
        <v>9900</v>
      </c>
      <c r="L14" s="27"/>
      <c r="M14" s="27"/>
      <c r="N14" s="27">
        <v>4700</v>
      </c>
      <c r="O14" s="26">
        <f t="shared" si="4"/>
        <v>5200</v>
      </c>
      <c r="P14" s="26">
        <f t="shared" si="5"/>
        <v>5200</v>
      </c>
      <c r="Q14" s="27">
        <v>15400</v>
      </c>
      <c r="R14" s="27"/>
      <c r="S14" s="27">
        <v>5200</v>
      </c>
      <c r="T14" s="27">
        <f t="shared" si="6"/>
        <v>15400</v>
      </c>
      <c r="U14" s="27">
        <f t="shared" si="7"/>
        <v>15400</v>
      </c>
      <c r="V14" s="27"/>
      <c r="W14" s="27"/>
      <c r="X14" s="27">
        <v>5900</v>
      </c>
      <c r="Y14" s="27">
        <f t="shared" si="8"/>
        <v>9500</v>
      </c>
      <c r="Z14" s="27">
        <f t="shared" si="9"/>
        <v>9500</v>
      </c>
      <c r="AA14" s="27"/>
      <c r="AB14" s="27"/>
      <c r="AC14" s="27">
        <v>6400</v>
      </c>
      <c r="AD14" s="27">
        <f t="shared" si="10"/>
        <v>3100</v>
      </c>
      <c r="AE14" s="27">
        <f t="shared" si="11"/>
        <v>3100</v>
      </c>
      <c r="AF14" s="27">
        <v>9600</v>
      </c>
      <c r="AG14" s="27"/>
      <c r="AH14" s="27">
        <v>3800</v>
      </c>
      <c r="AI14" s="27">
        <f t="shared" si="12"/>
        <v>8900</v>
      </c>
      <c r="AJ14" s="27">
        <f t="shared" si="13"/>
        <v>8900</v>
      </c>
      <c r="AK14" s="27">
        <v>14400</v>
      </c>
      <c r="AL14" s="27"/>
      <c r="AM14" s="27">
        <v>4500</v>
      </c>
      <c r="AN14" s="27">
        <f t="shared" si="14"/>
        <v>18800</v>
      </c>
      <c r="AO14" s="27">
        <f t="shared" si="15"/>
        <v>18800</v>
      </c>
      <c r="AP14" s="27"/>
      <c r="AQ14" s="27"/>
      <c r="AR14" s="27">
        <v>5500</v>
      </c>
      <c r="AS14" s="27">
        <f t="shared" si="16"/>
        <v>13300</v>
      </c>
      <c r="AT14" s="27">
        <f t="shared" si="17"/>
        <v>13300</v>
      </c>
      <c r="AU14" s="27">
        <v>6300</v>
      </c>
      <c r="AV14" s="27"/>
      <c r="AW14" s="27">
        <v>2700</v>
      </c>
      <c r="AX14" s="27">
        <f t="shared" si="18"/>
        <v>16900</v>
      </c>
      <c r="AY14" s="27">
        <f t="shared" si="19"/>
        <v>16900</v>
      </c>
      <c r="AZ14" s="27"/>
      <c r="BA14" s="27"/>
      <c r="BB14" s="27">
        <v>4000</v>
      </c>
      <c r="BC14" s="27">
        <f t="shared" si="20"/>
        <v>12900</v>
      </c>
      <c r="BD14" s="27">
        <f t="shared" si="21"/>
        <v>12900</v>
      </c>
      <c r="BE14" s="27"/>
      <c r="BF14" s="27"/>
      <c r="BG14" s="27">
        <v>3000</v>
      </c>
      <c r="BH14" s="27">
        <f t="shared" si="22"/>
        <v>9900</v>
      </c>
      <c r="BI14" s="27">
        <f t="shared" si="23"/>
        <v>9900</v>
      </c>
      <c r="BJ14" s="27">
        <v>250</v>
      </c>
      <c r="BK14" s="27"/>
      <c r="BL14" s="27">
        <v>3900</v>
      </c>
      <c r="BM14" s="27">
        <f t="shared" si="24"/>
        <v>6250</v>
      </c>
      <c r="BN14" s="18">
        <f t="shared" si="25"/>
        <v>148800</v>
      </c>
      <c r="BO14" s="46">
        <f t="shared" si="26"/>
        <v>25000</v>
      </c>
      <c r="BP14" s="46">
        <f t="shared" si="27"/>
        <v>6250</v>
      </c>
      <c r="BQ14" s="46">
        <f t="shared" si="28"/>
        <v>15625</v>
      </c>
      <c r="BR14" s="18">
        <f t="shared" si="0"/>
        <v>45950</v>
      </c>
      <c r="BS14" s="18">
        <f t="shared" si="29"/>
        <v>64700</v>
      </c>
      <c r="BT14" s="18">
        <f t="shared" si="1"/>
        <v>130050</v>
      </c>
      <c r="BU14" s="18">
        <f t="shared" si="30"/>
        <v>70950</v>
      </c>
      <c r="BV14" s="18">
        <f t="shared" si="31"/>
        <v>5391.666666666667</v>
      </c>
      <c r="BW14" s="28">
        <f t="shared" si="2"/>
        <v>0</v>
      </c>
      <c r="BY14" s="2">
        <v>32250</v>
      </c>
      <c r="BZ14" s="42">
        <f t="shared" si="32"/>
        <v>0.49845440494590415</v>
      </c>
      <c r="CA14" s="43">
        <v>1</v>
      </c>
      <c r="CB14" s="43">
        <v>1</v>
      </c>
      <c r="CC14" s="43">
        <v>1</v>
      </c>
      <c r="CD14" s="44">
        <f t="shared" si="33"/>
        <v>4.5407999999999999</v>
      </c>
      <c r="CE14" s="44">
        <f t="shared" si="34"/>
        <v>13.15919629057187</v>
      </c>
      <c r="CG14" s="45">
        <f t="shared" si="35"/>
        <v>0</v>
      </c>
      <c r="CH14" s="43">
        <v>1</v>
      </c>
      <c r="CI14" s="43">
        <v>1</v>
      </c>
    </row>
    <row r="15" spans="1:87" ht="19" x14ac:dyDescent="0.2">
      <c r="A15" s="4">
        <v>12</v>
      </c>
      <c r="B15" s="5">
        <v>92000770</v>
      </c>
      <c r="C15" s="4" t="s">
        <v>18</v>
      </c>
      <c r="D15" s="6" t="s">
        <v>6</v>
      </c>
      <c r="E15" s="25">
        <v>580</v>
      </c>
      <c r="F15" s="29">
        <v>2500</v>
      </c>
      <c r="G15" s="27"/>
      <c r="H15" s="27"/>
      <c r="I15" s="27">
        <v>0</v>
      </c>
      <c r="J15" s="27">
        <f t="shared" si="3"/>
        <v>2500</v>
      </c>
      <c r="K15" s="27">
        <f t="shared" si="36"/>
        <v>2500</v>
      </c>
      <c r="L15" s="27"/>
      <c r="M15" s="27"/>
      <c r="N15" s="27">
        <v>0</v>
      </c>
      <c r="O15" s="26">
        <f t="shared" si="4"/>
        <v>2500</v>
      </c>
      <c r="P15" s="26">
        <f t="shared" si="5"/>
        <v>2500</v>
      </c>
      <c r="Q15" s="27"/>
      <c r="R15" s="27"/>
      <c r="S15" s="27">
        <v>0</v>
      </c>
      <c r="T15" s="27">
        <f t="shared" si="6"/>
        <v>2500</v>
      </c>
      <c r="U15" s="27">
        <f t="shared" si="7"/>
        <v>2500</v>
      </c>
      <c r="V15" s="27"/>
      <c r="W15" s="27"/>
      <c r="X15" s="27">
        <v>0</v>
      </c>
      <c r="Y15" s="27">
        <f t="shared" si="8"/>
        <v>2500</v>
      </c>
      <c r="Z15" s="27">
        <f t="shared" si="9"/>
        <v>2500</v>
      </c>
      <c r="AA15" s="27"/>
      <c r="AB15" s="27"/>
      <c r="AC15" s="27">
        <v>100</v>
      </c>
      <c r="AD15" s="27">
        <f t="shared" si="10"/>
        <v>2400</v>
      </c>
      <c r="AE15" s="27">
        <f t="shared" si="11"/>
        <v>2400</v>
      </c>
      <c r="AF15" s="27"/>
      <c r="AG15" s="27"/>
      <c r="AH15" s="27">
        <v>100</v>
      </c>
      <c r="AI15" s="27">
        <f t="shared" si="12"/>
        <v>2300</v>
      </c>
      <c r="AJ15" s="27">
        <f t="shared" si="13"/>
        <v>2300</v>
      </c>
      <c r="AK15" s="27"/>
      <c r="AL15" s="27"/>
      <c r="AM15" s="27">
        <v>200</v>
      </c>
      <c r="AN15" s="27">
        <f t="shared" si="14"/>
        <v>2100</v>
      </c>
      <c r="AO15" s="27">
        <f t="shared" si="15"/>
        <v>2100</v>
      </c>
      <c r="AP15" s="27"/>
      <c r="AQ15" s="27"/>
      <c r="AR15" s="27">
        <v>100</v>
      </c>
      <c r="AS15" s="27">
        <f t="shared" si="16"/>
        <v>2000</v>
      </c>
      <c r="AT15" s="27">
        <f t="shared" si="17"/>
        <v>2000</v>
      </c>
      <c r="AU15" s="27"/>
      <c r="AV15" s="27"/>
      <c r="AW15" s="27">
        <v>300</v>
      </c>
      <c r="AX15" s="27">
        <f t="shared" si="18"/>
        <v>1700</v>
      </c>
      <c r="AY15" s="27">
        <f t="shared" si="19"/>
        <v>1700</v>
      </c>
      <c r="AZ15" s="27"/>
      <c r="BA15" s="27"/>
      <c r="BB15" s="27">
        <v>0</v>
      </c>
      <c r="BC15" s="27">
        <f t="shared" si="20"/>
        <v>1700</v>
      </c>
      <c r="BD15" s="27">
        <f t="shared" si="21"/>
        <v>1700</v>
      </c>
      <c r="BE15" s="27"/>
      <c r="BF15" s="27"/>
      <c r="BG15" s="27">
        <v>0</v>
      </c>
      <c r="BH15" s="27">
        <f t="shared" si="22"/>
        <v>1700</v>
      </c>
      <c r="BI15" s="27">
        <f t="shared" si="23"/>
        <v>1700</v>
      </c>
      <c r="BJ15" s="27"/>
      <c r="BK15" s="27"/>
      <c r="BL15" s="27">
        <v>200</v>
      </c>
      <c r="BM15" s="27">
        <f t="shared" si="24"/>
        <v>1500</v>
      </c>
      <c r="BN15" s="18">
        <f t="shared" si="25"/>
        <v>26400</v>
      </c>
      <c r="BO15" s="46">
        <f t="shared" si="26"/>
        <v>2500</v>
      </c>
      <c r="BP15" s="46">
        <f t="shared" si="27"/>
        <v>1500</v>
      </c>
      <c r="BQ15" s="46">
        <f t="shared" si="28"/>
        <v>2000</v>
      </c>
      <c r="BR15" s="18">
        <f t="shared" si="0"/>
        <v>0</v>
      </c>
      <c r="BS15" s="18">
        <f t="shared" si="29"/>
        <v>1000</v>
      </c>
      <c r="BT15" s="18">
        <f t="shared" si="1"/>
        <v>25400</v>
      </c>
      <c r="BU15" s="18">
        <f t="shared" si="30"/>
        <v>2500</v>
      </c>
      <c r="BV15" s="18">
        <f t="shared" si="31"/>
        <v>83.333333333333329</v>
      </c>
      <c r="BW15" s="28">
        <f t="shared" si="2"/>
        <v>0</v>
      </c>
      <c r="BY15" s="2">
        <v>10000</v>
      </c>
      <c r="BZ15" s="42">
        <f t="shared" si="32"/>
        <v>10</v>
      </c>
      <c r="CA15" s="43">
        <v>1</v>
      </c>
      <c r="CB15" s="43">
        <v>1</v>
      </c>
      <c r="CC15" s="43">
        <v>1</v>
      </c>
      <c r="CD15" s="44">
        <f t="shared" si="33"/>
        <v>1.25</v>
      </c>
      <c r="CE15" s="44">
        <f t="shared" si="34"/>
        <v>30</v>
      </c>
      <c r="CG15" s="45">
        <f t="shared" si="35"/>
        <v>0</v>
      </c>
      <c r="CH15" s="43">
        <v>1</v>
      </c>
      <c r="CI15" s="43">
        <v>1</v>
      </c>
    </row>
    <row r="16" spans="1:87" ht="19" x14ac:dyDescent="0.2">
      <c r="A16" s="4">
        <v>13</v>
      </c>
      <c r="B16" s="5">
        <v>92000435</v>
      </c>
      <c r="C16" s="4" t="s">
        <v>19</v>
      </c>
      <c r="D16" s="6" t="s">
        <v>6</v>
      </c>
      <c r="E16" s="25">
        <v>22356</v>
      </c>
      <c r="F16" s="29">
        <v>0</v>
      </c>
      <c r="G16" s="27"/>
      <c r="H16" s="27"/>
      <c r="I16" s="27"/>
      <c r="J16" s="27">
        <f t="shared" si="3"/>
        <v>0</v>
      </c>
      <c r="K16" s="27">
        <f t="shared" si="36"/>
        <v>0</v>
      </c>
      <c r="L16" s="27"/>
      <c r="M16" s="27"/>
      <c r="N16" s="27">
        <v>0</v>
      </c>
      <c r="O16" s="26">
        <f t="shared" si="4"/>
        <v>0</v>
      </c>
      <c r="P16" s="26">
        <f t="shared" si="5"/>
        <v>0</v>
      </c>
      <c r="Q16" s="27"/>
      <c r="R16" s="27"/>
      <c r="S16" s="27">
        <v>0</v>
      </c>
      <c r="T16" s="27">
        <f t="shared" si="6"/>
        <v>0</v>
      </c>
      <c r="U16" s="27">
        <f t="shared" si="7"/>
        <v>0</v>
      </c>
      <c r="V16" s="27"/>
      <c r="W16" s="27"/>
      <c r="X16" s="27">
        <v>0</v>
      </c>
      <c r="Y16" s="27">
        <f t="shared" si="8"/>
        <v>0</v>
      </c>
      <c r="Z16" s="27">
        <f t="shared" si="9"/>
        <v>0</v>
      </c>
      <c r="AA16" s="27"/>
      <c r="AB16" s="27"/>
      <c r="AC16" s="27">
        <v>0</v>
      </c>
      <c r="AD16" s="27">
        <f t="shared" si="10"/>
        <v>0</v>
      </c>
      <c r="AE16" s="27">
        <f t="shared" si="11"/>
        <v>0</v>
      </c>
      <c r="AF16" s="27"/>
      <c r="AG16" s="27"/>
      <c r="AH16" s="27">
        <v>0</v>
      </c>
      <c r="AI16" s="27">
        <f t="shared" si="12"/>
        <v>0</v>
      </c>
      <c r="AJ16" s="27">
        <f t="shared" si="13"/>
        <v>0</v>
      </c>
      <c r="AK16" s="27"/>
      <c r="AL16" s="27"/>
      <c r="AM16" s="27">
        <v>0</v>
      </c>
      <c r="AN16" s="27">
        <f t="shared" si="14"/>
        <v>0</v>
      </c>
      <c r="AO16" s="27">
        <f t="shared" si="15"/>
        <v>0</v>
      </c>
      <c r="AP16" s="27"/>
      <c r="AQ16" s="27"/>
      <c r="AR16" s="27">
        <v>0</v>
      </c>
      <c r="AS16" s="27">
        <f t="shared" si="16"/>
        <v>0</v>
      </c>
      <c r="AT16" s="27">
        <f t="shared" si="17"/>
        <v>0</v>
      </c>
      <c r="AU16" s="27"/>
      <c r="AV16" s="27"/>
      <c r="AW16" s="27">
        <v>0</v>
      </c>
      <c r="AX16" s="27">
        <f t="shared" si="18"/>
        <v>0</v>
      </c>
      <c r="AY16" s="27">
        <f t="shared" si="19"/>
        <v>0</v>
      </c>
      <c r="AZ16" s="27"/>
      <c r="BA16" s="27"/>
      <c r="BB16" s="27">
        <v>0</v>
      </c>
      <c r="BC16" s="27">
        <f t="shared" si="20"/>
        <v>0</v>
      </c>
      <c r="BD16" s="27">
        <f t="shared" si="21"/>
        <v>0</v>
      </c>
      <c r="BE16" s="27"/>
      <c r="BF16" s="27"/>
      <c r="BG16" s="27">
        <v>0</v>
      </c>
      <c r="BH16" s="27">
        <f t="shared" si="22"/>
        <v>0</v>
      </c>
      <c r="BI16" s="27">
        <f t="shared" si="23"/>
        <v>0</v>
      </c>
      <c r="BJ16" s="27"/>
      <c r="BK16" s="27"/>
      <c r="BL16" s="27">
        <v>0</v>
      </c>
      <c r="BM16" s="27">
        <f t="shared" si="24"/>
        <v>0</v>
      </c>
      <c r="BN16" s="18">
        <f t="shared" si="25"/>
        <v>0</v>
      </c>
      <c r="BO16" s="46">
        <f t="shared" si="26"/>
        <v>0</v>
      </c>
      <c r="BP16" s="46">
        <f t="shared" si="27"/>
        <v>0</v>
      </c>
      <c r="BQ16" s="46">
        <f t="shared" si="28"/>
        <v>0</v>
      </c>
      <c r="BR16" s="18">
        <f t="shared" si="0"/>
        <v>0</v>
      </c>
      <c r="BS16" s="18">
        <f t="shared" si="29"/>
        <v>0</v>
      </c>
      <c r="BT16" s="18">
        <f t="shared" si="1"/>
        <v>0</v>
      </c>
      <c r="BU16" s="18">
        <f t="shared" si="30"/>
        <v>0</v>
      </c>
      <c r="BV16" s="18">
        <f t="shared" si="31"/>
        <v>0</v>
      </c>
      <c r="BW16" s="28">
        <f t="shared" si="2"/>
        <v>0</v>
      </c>
      <c r="BY16" s="2">
        <v>200</v>
      </c>
      <c r="BZ16" s="42" t="e">
        <f t="shared" si="32"/>
        <v>#DIV/0!</v>
      </c>
      <c r="CA16" s="43">
        <v>1</v>
      </c>
      <c r="CB16" s="43">
        <v>1</v>
      </c>
      <c r="CC16" s="43">
        <v>1</v>
      </c>
      <c r="CD16" s="44" t="e">
        <f t="shared" si="33"/>
        <v>#DIV/0!</v>
      </c>
      <c r="CE16" s="44" t="e">
        <f t="shared" si="34"/>
        <v>#DIV/0!</v>
      </c>
      <c r="CG16" s="45">
        <v>0</v>
      </c>
      <c r="CH16" s="43">
        <v>1</v>
      </c>
      <c r="CI16" s="43">
        <v>1</v>
      </c>
    </row>
    <row r="17" spans="1:87" ht="19" x14ac:dyDescent="0.2">
      <c r="A17" s="4">
        <v>14</v>
      </c>
      <c r="B17" s="5">
        <v>92000914</v>
      </c>
      <c r="C17" s="4" t="s">
        <v>20</v>
      </c>
      <c r="D17" s="6" t="s">
        <v>6</v>
      </c>
      <c r="E17" s="25">
        <f>46020/100</f>
        <v>460.2</v>
      </c>
      <c r="F17" s="29">
        <v>0</v>
      </c>
      <c r="G17" s="27"/>
      <c r="H17" s="27"/>
      <c r="I17" s="27"/>
      <c r="J17" s="27">
        <f t="shared" si="3"/>
        <v>0</v>
      </c>
      <c r="K17" s="27">
        <f t="shared" si="36"/>
        <v>0</v>
      </c>
      <c r="L17" s="27"/>
      <c r="M17" s="27"/>
      <c r="N17" s="27">
        <v>0</v>
      </c>
      <c r="O17" s="26">
        <f t="shared" si="4"/>
        <v>0</v>
      </c>
      <c r="P17" s="26">
        <f t="shared" si="5"/>
        <v>0</v>
      </c>
      <c r="Q17" s="27"/>
      <c r="R17" s="27"/>
      <c r="S17" s="27">
        <v>0</v>
      </c>
      <c r="T17" s="27">
        <f t="shared" si="6"/>
        <v>0</v>
      </c>
      <c r="U17" s="27">
        <f t="shared" si="7"/>
        <v>0</v>
      </c>
      <c r="V17" s="27"/>
      <c r="W17" s="27"/>
      <c r="X17" s="27">
        <v>0</v>
      </c>
      <c r="Y17" s="27">
        <f t="shared" si="8"/>
        <v>0</v>
      </c>
      <c r="Z17" s="27">
        <f t="shared" si="9"/>
        <v>0</v>
      </c>
      <c r="AA17" s="27"/>
      <c r="AB17" s="27"/>
      <c r="AC17" s="27">
        <v>0</v>
      </c>
      <c r="AD17" s="27">
        <f t="shared" si="10"/>
        <v>0</v>
      </c>
      <c r="AE17" s="27">
        <f t="shared" si="11"/>
        <v>0</v>
      </c>
      <c r="AF17" s="27"/>
      <c r="AG17" s="27"/>
      <c r="AH17" s="27">
        <v>0</v>
      </c>
      <c r="AI17" s="27">
        <f t="shared" si="12"/>
        <v>0</v>
      </c>
      <c r="AJ17" s="27">
        <f t="shared" si="13"/>
        <v>0</v>
      </c>
      <c r="AK17" s="27"/>
      <c r="AL17" s="27"/>
      <c r="AM17" s="27">
        <v>0</v>
      </c>
      <c r="AN17" s="27">
        <f t="shared" si="14"/>
        <v>0</v>
      </c>
      <c r="AO17" s="27">
        <f t="shared" si="15"/>
        <v>0</v>
      </c>
      <c r="AP17" s="27"/>
      <c r="AQ17" s="27"/>
      <c r="AR17" s="27">
        <v>0</v>
      </c>
      <c r="AS17" s="27">
        <f t="shared" si="16"/>
        <v>0</v>
      </c>
      <c r="AT17" s="27">
        <f t="shared" si="17"/>
        <v>0</v>
      </c>
      <c r="AU17" s="27"/>
      <c r="AV17" s="27"/>
      <c r="AW17" s="27">
        <v>0</v>
      </c>
      <c r="AX17" s="27">
        <f t="shared" si="18"/>
        <v>0</v>
      </c>
      <c r="AY17" s="27">
        <f t="shared" si="19"/>
        <v>0</v>
      </c>
      <c r="AZ17" s="27"/>
      <c r="BA17" s="27"/>
      <c r="BB17" s="27">
        <v>0</v>
      </c>
      <c r="BC17" s="27">
        <f t="shared" si="20"/>
        <v>0</v>
      </c>
      <c r="BD17" s="27">
        <f t="shared" si="21"/>
        <v>0</v>
      </c>
      <c r="BE17" s="27"/>
      <c r="BF17" s="27"/>
      <c r="BG17" s="27">
        <v>0</v>
      </c>
      <c r="BH17" s="27">
        <f t="shared" si="22"/>
        <v>0</v>
      </c>
      <c r="BI17" s="27">
        <f t="shared" si="23"/>
        <v>0</v>
      </c>
      <c r="BJ17" s="27"/>
      <c r="BK17" s="27"/>
      <c r="BL17" s="27">
        <v>0</v>
      </c>
      <c r="BM17" s="27">
        <f t="shared" si="24"/>
        <v>0</v>
      </c>
      <c r="BN17" s="18">
        <f t="shared" si="25"/>
        <v>0</v>
      </c>
      <c r="BO17" s="46">
        <f t="shared" si="26"/>
        <v>0</v>
      </c>
      <c r="BP17" s="46">
        <f t="shared" si="27"/>
        <v>0</v>
      </c>
      <c r="BQ17" s="46">
        <f t="shared" si="28"/>
        <v>0</v>
      </c>
      <c r="BR17" s="18">
        <f t="shared" si="0"/>
        <v>0</v>
      </c>
      <c r="BS17" s="18">
        <f t="shared" si="29"/>
        <v>0</v>
      </c>
      <c r="BT17" s="18">
        <f t="shared" si="1"/>
        <v>0</v>
      </c>
      <c r="BU17" s="18">
        <f t="shared" si="30"/>
        <v>0</v>
      </c>
      <c r="BV17" s="18">
        <f t="shared" si="31"/>
        <v>0</v>
      </c>
      <c r="BW17" s="28">
        <f t="shared" si="2"/>
        <v>0</v>
      </c>
      <c r="BY17" s="2">
        <v>5000</v>
      </c>
      <c r="BZ17" s="42" t="e">
        <f t="shared" si="32"/>
        <v>#DIV/0!</v>
      </c>
      <c r="CA17" s="43">
        <v>1</v>
      </c>
      <c r="CB17" s="43">
        <v>1</v>
      </c>
      <c r="CC17" s="43">
        <v>1</v>
      </c>
      <c r="CD17" s="44" t="e">
        <f t="shared" si="33"/>
        <v>#DIV/0!</v>
      </c>
      <c r="CE17" s="44" t="e">
        <f t="shared" si="34"/>
        <v>#DIV/0!</v>
      </c>
      <c r="CG17" s="45">
        <v>0</v>
      </c>
      <c r="CH17" s="43">
        <v>1</v>
      </c>
      <c r="CI17" s="43">
        <v>1</v>
      </c>
    </row>
    <row r="18" spans="1:87" ht="19" x14ac:dyDescent="0.2">
      <c r="A18" s="4">
        <v>15</v>
      </c>
      <c r="B18" s="5">
        <v>92000634</v>
      </c>
      <c r="C18" s="12" t="s">
        <v>21</v>
      </c>
      <c r="D18" s="7" t="s">
        <v>22</v>
      </c>
      <c r="E18" s="30">
        <v>1893</v>
      </c>
      <c r="F18" s="29">
        <v>10</v>
      </c>
      <c r="G18" s="27"/>
      <c r="H18" s="27"/>
      <c r="I18" s="27"/>
      <c r="J18" s="27">
        <f t="shared" si="3"/>
        <v>10</v>
      </c>
      <c r="K18" s="27">
        <f t="shared" si="36"/>
        <v>10</v>
      </c>
      <c r="L18" s="27"/>
      <c r="M18" s="27">
        <v>10</v>
      </c>
      <c r="N18" s="27">
        <v>0</v>
      </c>
      <c r="O18" s="26">
        <f t="shared" si="4"/>
        <v>0</v>
      </c>
      <c r="P18" s="26">
        <f t="shared" si="5"/>
        <v>0</v>
      </c>
      <c r="Q18" s="27"/>
      <c r="R18" s="27"/>
      <c r="S18" s="27">
        <v>0</v>
      </c>
      <c r="T18" s="27">
        <f t="shared" si="6"/>
        <v>0</v>
      </c>
      <c r="U18" s="27">
        <f t="shared" si="7"/>
        <v>0</v>
      </c>
      <c r="V18" s="27"/>
      <c r="W18" s="27"/>
      <c r="X18" s="27">
        <v>0</v>
      </c>
      <c r="Y18" s="27">
        <f t="shared" si="8"/>
        <v>0</v>
      </c>
      <c r="Z18" s="27">
        <f t="shared" si="9"/>
        <v>0</v>
      </c>
      <c r="AA18" s="27"/>
      <c r="AB18" s="27"/>
      <c r="AC18" s="27">
        <v>0</v>
      </c>
      <c r="AD18" s="27">
        <f t="shared" si="10"/>
        <v>0</v>
      </c>
      <c r="AE18" s="27">
        <f t="shared" si="11"/>
        <v>0</v>
      </c>
      <c r="AF18" s="27">
        <v>10</v>
      </c>
      <c r="AG18" s="27"/>
      <c r="AH18" s="27">
        <v>0</v>
      </c>
      <c r="AI18" s="27">
        <f t="shared" si="12"/>
        <v>10</v>
      </c>
      <c r="AJ18" s="27">
        <f t="shared" si="13"/>
        <v>10</v>
      </c>
      <c r="AK18" s="27">
        <v>20</v>
      </c>
      <c r="AL18" s="27"/>
      <c r="AM18" s="27">
        <v>20</v>
      </c>
      <c r="AN18" s="27">
        <f t="shared" si="14"/>
        <v>10</v>
      </c>
      <c r="AO18" s="27">
        <f t="shared" si="15"/>
        <v>10</v>
      </c>
      <c r="AP18" s="27"/>
      <c r="AQ18" s="27"/>
      <c r="AR18" s="27">
        <v>0</v>
      </c>
      <c r="AS18" s="27">
        <f t="shared" si="16"/>
        <v>10</v>
      </c>
      <c r="AT18" s="27">
        <f t="shared" si="17"/>
        <v>10</v>
      </c>
      <c r="AU18" s="27"/>
      <c r="AV18" s="27"/>
      <c r="AW18" s="27">
        <v>0</v>
      </c>
      <c r="AX18" s="27">
        <f t="shared" si="18"/>
        <v>10</v>
      </c>
      <c r="AY18" s="27">
        <f t="shared" si="19"/>
        <v>10</v>
      </c>
      <c r="AZ18" s="27"/>
      <c r="BA18" s="27"/>
      <c r="BB18" s="27">
        <v>0</v>
      </c>
      <c r="BC18" s="27">
        <f t="shared" si="20"/>
        <v>10</v>
      </c>
      <c r="BD18" s="27">
        <f t="shared" si="21"/>
        <v>10</v>
      </c>
      <c r="BE18" s="27"/>
      <c r="BF18" s="27"/>
      <c r="BG18" s="27">
        <v>0</v>
      </c>
      <c r="BH18" s="27">
        <f t="shared" si="22"/>
        <v>10</v>
      </c>
      <c r="BI18" s="27">
        <f t="shared" si="23"/>
        <v>10</v>
      </c>
      <c r="BJ18" s="27"/>
      <c r="BK18" s="27"/>
      <c r="BL18" s="27">
        <v>0</v>
      </c>
      <c r="BM18" s="27">
        <f t="shared" si="24"/>
        <v>10</v>
      </c>
      <c r="BN18" s="18">
        <f t="shared" si="25"/>
        <v>80</v>
      </c>
      <c r="BO18" s="46">
        <f t="shared" si="26"/>
        <v>10</v>
      </c>
      <c r="BP18" s="46">
        <f t="shared" si="27"/>
        <v>20</v>
      </c>
      <c r="BQ18" s="46">
        <f t="shared" si="28"/>
        <v>15</v>
      </c>
      <c r="BR18" s="18">
        <f t="shared" si="0"/>
        <v>30</v>
      </c>
      <c r="BS18" s="18">
        <f t="shared" si="29"/>
        <v>20</v>
      </c>
      <c r="BT18" s="18">
        <f t="shared" si="1"/>
        <v>90</v>
      </c>
      <c r="BU18" s="18">
        <f t="shared" si="30"/>
        <v>40</v>
      </c>
      <c r="BV18" s="18">
        <f t="shared" si="31"/>
        <v>1.6666666666666667</v>
      </c>
      <c r="BW18" s="28">
        <f t="shared" si="2"/>
        <v>10</v>
      </c>
      <c r="BY18" s="2">
        <v>50</v>
      </c>
      <c r="BZ18" s="42">
        <f t="shared" si="32"/>
        <v>2.5</v>
      </c>
      <c r="CA18" s="43">
        <v>1</v>
      </c>
      <c r="CB18" s="43">
        <v>1</v>
      </c>
      <c r="CC18" s="43">
        <v>1</v>
      </c>
      <c r="CD18" s="44">
        <f t="shared" si="33"/>
        <v>2.6666666666666665</v>
      </c>
      <c r="CE18" s="44">
        <f t="shared" si="34"/>
        <v>24</v>
      </c>
      <c r="CG18" s="45">
        <f t="shared" si="35"/>
        <v>0.25</v>
      </c>
      <c r="CH18" s="43">
        <v>1</v>
      </c>
      <c r="CI18" s="43">
        <v>1</v>
      </c>
    </row>
    <row r="19" spans="1:87" ht="19" x14ac:dyDescent="0.2">
      <c r="A19" s="4">
        <v>16</v>
      </c>
      <c r="B19" s="5"/>
      <c r="C19" s="4" t="s">
        <v>68</v>
      </c>
      <c r="D19" s="6" t="s">
        <v>22</v>
      </c>
      <c r="E19" s="25">
        <v>1609.5</v>
      </c>
      <c r="F19" s="29">
        <v>180</v>
      </c>
      <c r="G19" s="27"/>
      <c r="H19" s="27"/>
      <c r="I19" s="27"/>
      <c r="J19" s="27">
        <f t="shared" si="3"/>
        <v>180</v>
      </c>
      <c r="K19" s="27">
        <f t="shared" si="36"/>
        <v>180</v>
      </c>
      <c r="L19" s="27"/>
      <c r="M19" s="27"/>
      <c r="N19" s="27">
        <v>0</v>
      </c>
      <c r="O19" s="26">
        <f t="shared" si="4"/>
        <v>180</v>
      </c>
      <c r="P19" s="26">
        <f t="shared" si="5"/>
        <v>180</v>
      </c>
      <c r="Q19" s="27"/>
      <c r="R19" s="27"/>
      <c r="S19" s="27">
        <v>30</v>
      </c>
      <c r="T19" s="27">
        <f t="shared" si="6"/>
        <v>150</v>
      </c>
      <c r="U19" s="27">
        <f t="shared" si="7"/>
        <v>150</v>
      </c>
      <c r="V19" s="27"/>
      <c r="W19" s="27"/>
      <c r="X19" s="27">
        <v>0</v>
      </c>
      <c r="Y19" s="27">
        <f t="shared" si="8"/>
        <v>150</v>
      </c>
      <c r="Z19" s="27">
        <f t="shared" si="9"/>
        <v>150</v>
      </c>
      <c r="AA19" s="27"/>
      <c r="AB19" s="27"/>
      <c r="AC19" s="27">
        <v>30</v>
      </c>
      <c r="AD19" s="27">
        <f t="shared" si="10"/>
        <v>120</v>
      </c>
      <c r="AE19" s="27">
        <f t="shared" si="11"/>
        <v>120</v>
      </c>
      <c r="AF19" s="27">
        <v>90</v>
      </c>
      <c r="AG19" s="27"/>
      <c r="AH19" s="27">
        <v>30</v>
      </c>
      <c r="AI19" s="27">
        <f t="shared" si="12"/>
        <v>180</v>
      </c>
      <c r="AJ19" s="27">
        <f t="shared" si="13"/>
        <v>180</v>
      </c>
      <c r="AK19" s="27"/>
      <c r="AL19" s="27"/>
      <c r="AM19" s="27">
        <v>0</v>
      </c>
      <c r="AN19" s="27">
        <f t="shared" si="14"/>
        <v>180</v>
      </c>
      <c r="AO19" s="27">
        <f t="shared" si="15"/>
        <v>180</v>
      </c>
      <c r="AP19" s="27"/>
      <c r="AQ19" s="27"/>
      <c r="AR19" s="27">
        <v>0</v>
      </c>
      <c r="AS19" s="27">
        <f t="shared" si="16"/>
        <v>180</v>
      </c>
      <c r="AT19" s="27">
        <f t="shared" si="17"/>
        <v>180</v>
      </c>
      <c r="AU19" s="27"/>
      <c r="AV19" s="27"/>
      <c r="AW19" s="27">
        <v>30</v>
      </c>
      <c r="AX19" s="27">
        <f t="shared" si="18"/>
        <v>150</v>
      </c>
      <c r="AY19" s="27">
        <f t="shared" si="19"/>
        <v>150</v>
      </c>
      <c r="AZ19" s="27"/>
      <c r="BA19" s="27"/>
      <c r="BB19" s="27">
        <v>150</v>
      </c>
      <c r="BC19" s="27">
        <f t="shared" si="20"/>
        <v>0</v>
      </c>
      <c r="BD19" s="27">
        <f t="shared" si="21"/>
        <v>0</v>
      </c>
      <c r="BE19" s="27"/>
      <c r="BF19" s="27"/>
      <c r="BG19" s="27">
        <v>0</v>
      </c>
      <c r="BH19" s="27">
        <f t="shared" si="22"/>
        <v>0</v>
      </c>
      <c r="BI19" s="27">
        <f t="shared" si="23"/>
        <v>0</v>
      </c>
      <c r="BJ19" s="27"/>
      <c r="BK19" s="27"/>
      <c r="BL19" s="27">
        <v>0</v>
      </c>
      <c r="BM19" s="27">
        <f t="shared" si="24"/>
        <v>0</v>
      </c>
      <c r="BN19" s="18">
        <f t="shared" si="25"/>
        <v>1650</v>
      </c>
      <c r="BO19" s="46">
        <f t="shared" si="26"/>
        <v>180</v>
      </c>
      <c r="BP19" s="46">
        <f t="shared" si="27"/>
        <v>0</v>
      </c>
      <c r="BQ19" s="46">
        <f t="shared" si="28"/>
        <v>90</v>
      </c>
      <c r="BR19" s="18">
        <f t="shared" si="0"/>
        <v>90</v>
      </c>
      <c r="BS19" s="18">
        <f t="shared" si="29"/>
        <v>270</v>
      </c>
      <c r="BT19" s="18">
        <f t="shared" si="1"/>
        <v>1470</v>
      </c>
      <c r="BU19" s="18">
        <f t="shared" si="30"/>
        <v>270</v>
      </c>
      <c r="BV19" s="18">
        <f t="shared" si="31"/>
        <v>22.5</v>
      </c>
      <c r="BW19" s="28">
        <f t="shared" si="2"/>
        <v>0</v>
      </c>
      <c r="BY19" s="2">
        <v>500</v>
      </c>
      <c r="BZ19" s="42">
        <f t="shared" si="32"/>
        <v>1.8518518518518519</v>
      </c>
      <c r="CA19" s="43">
        <v>1</v>
      </c>
      <c r="CB19" s="43">
        <v>1</v>
      </c>
      <c r="CC19" s="43">
        <v>1</v>
      </c>
      <c r="CD19" s="44">
        <f t="shared" si="33"/>
        <v>3</v>
      </c>
      <c r="CE19" s="44">
        <f t="shared" si="34"/>
        <v>12</v>
      </c>
      <c r="CG19" s="45">
        <f t="shared" si="35"/>
        <v>0</v>
      </c>
      <c r="CH19" s="43">
        <v>1</v>
      </c>
      <c r="CI19" s="43">
        <v>1</v>
      </c>
    </row>
    <row r="20" spans="1:87" ht="19" x14ac:dyDescent="0.2">
      <c r="A20" s="4">
        <v>17</v>
      </c>
      <c r="B20" s="5">
        <v>92002848</v>
      </c>
      <c r="C20" s="4" t="s">
        <v>23</v>
      </c>
      <c r="D20" s="6" t="s">
        <v>24</v>
      </c>
      <c r="E20" s="33">
        <v>456.06</v>
      </c>
      <c r="F20" s="29">
        <v>500</v>
      </c>
      <c r="G20" s="27"/>
      <c r="H20" s="27"/>
      <c r="I20" s="27">
        <v>100</v>
      </c>
      <c r="J20" s="27">
        <f t="shared" si="3"/>
        <v>400</v>
      </c>
      <c r="K20" s="27">
        <f t="shared" si="36"/>
        <v>400</v>
      </c>
      <c r="L20" s="27"/>
      <c r="M20" s="27"/>
      <c r="N20" s="27">
        <v>50</v>
      </c>
      <c r="O20" s="26">
        <f t="shared" si="4"/>
        <v>350</v>
      </c>
      <c r="P20" s="26">
        <f t="shared" si="5"/>
        <v>350</v>
      </c>
      <c r="Q20" s="27"/>
      <c r="R20" s="27"/>
      <c r="S20" s="27">
        <v>0</v>
      </c>
      <c r="T20" s="27">
        <f t="shared" si="6"/>
        <v>350</v>
      </c>
      <c r="U20" s="27">
        <f t="shared" si="7"/>
        <v>350</v>
      </c>
      <c r="V20" s="27"/>
      <c r="W20" s="27"/>
      <c r="X20" s="27">
        <v>100</v>
      </c>
      <c r="Y20" s="27">
        <f t="shared" si="8"/>
        <v>250</v>
      </c>
      <c r="Z20" s="27">
        <f t="shared" si="9"/>
        <v>250</v>
      </c>
      <c r="AA20" s="27"/>
      <c r="AB20" s="27"/>
      <c r="AC20" s="27">
        <v>50</v>
      </c>
      <c r="AD20" s="27">
        <f t="shared" si="10"/>
        <v>200</v>
      </c>
      <c r="AE20" s="27">
        <f t="shared" si="11"/>
        <v>200</v>
      </c>
      <c r="AF20" s="27">
        <v>1200</v>
      </c>
      <c r="AG20" s="27"/>
      <c r="AH20" s="27">
        <v>200</v>
      </c>
      <c r="AI20" s="27">
        <f t="shared" si="12"/>
        <v>1200</v>
      </c>
      <c r="AJ20" s="27">
        <f t="shared" si="13"/>
        <v>1200</v>
      </c>
      <c r="AK20" s="27"/>
      <c r="AL20" s="27">
        <v>1200</v>
      </c>
      <c r="AM20" s="27">
        <v>0</v>
      </c>
      <c r="AN20" s="27">
        <f t="shared" si="14"/>
        <v>0</v>
      </c>
      <c r="AO20" s="27">
        <f t="shared" si="15"/>
        <v>0</v>
      </c>
      <c r="AP20" s="27">
        <v>1000</v>
      </c>
      <c r="AQ20" s="27"/>
      <c r="AR20" s="27">
        <v>0</v>
      </c>
      <c r="AS20" s="27">
        <f t="shared" si="16"/>
        <v>1000</v>
      </c>
      <c r="AT20" s="27">
        <f t="shared" si="17"/>
        <v>1000</v>
      </c>
      <c r="AU20" s="27"/>
      <c r="AV20" s="27"/>
      <c r="AW20" s="27">
        <v>196</v>
      </c>
      <c r="AX20" s="27">
        <f t="shared" si="18"/>
        <v>804</v>
      </c>
      <c r="AY20" s="27">
        <f t="shared" si="19"/>
        <v>804</v>
      </c>
      <c r="AZ20" s="27">
        <v>100</v>
      </c>
      <c r="BA20" s="27"/>
      <c r="BB20" s="27">
        <v>376</v>
      </c>
      <c r="BC20" s="27">
        <f t="shared" si="20"/>
        <v>528</v>
      </c>
      <c r="BD20" s="27">
        <f t="shared" si="21"/>
        <v>528</v>
      </c>
      <c r="BE20" s="27"/>
      <c r="BF20" s="27"/>
      <c r="BG20" s="27">
        <v>28</v>
      </c>
      <c r="BH20" s="27">
        <f t="shared" si="22"/>
        <v>500</v>
      </c>
      <c r="BI20" s="27">
        <f t="shared" si="23"/>
        <v>500</v>
      </c>
      <c r="BJ20" s="27"/>
      <c r="BK20" s="27"/>
      <c r="BL20" s="27">
        <v>200</v>
      </c>
      <c r="BM20" s="27">
        <f t="shared" si="24"/>
        <v>300</v>
      </c>
      <c r="BN20" s="18">
        <f t="shared" si="25"/>
        <v>6082</v>
      </c>
      <c r="BO20" s="46">
        <f t="shared" si="26"/>
        <v>500</v>
      </c>
      <c r="BP20" s="46">
        <f t="shared" si="27"/>
        <v>1500</v>
      </c>
      <c r="BQ20" s="46">
        <f t="shared" si="28"/>
        <v>1000</v>
      </c>
      <c r="BR20" s="18">
        <f t="shared" si="0"/>
        <v>2300</v>
      </c>
      <c r="BS20" s="18">
        <f t="shared" si="29"/>
        <v>1300</v>
      </c>
      <c r="BT20" s="18">
        <f t="shared" si="1"/>
        <v>7082</v>
      </c>
      <c r="BU20" s="18">
        <f t="shared" si="30"/>
        <v>2800</v>
      </c>
      <c r="BV20" s="18">
        <f t="shared" si="31"/>
        <v>108.33333333333333</v>
      </c>
      <c r="BW20" s="28">
        <f t="shared" si="2"/>
        <v>1200</v>
      </c>
      <c r="BY20" s="2">
        <v>5000</v>
      </c>
      <c r="BZ20" s="42">
        <f t="shared" si="32"/>
        <v>3.8461538461538463</v>
      </c>
      <c r="CA20" s="43">
        <v>1</v>
      </c>
      <c r="CB20" s="43">
        <v>1</v>
      </c>
      <c r="CC20" s="43">
        <v>1</v>
      </c>
      <c r="CD20" s="44">
        <f t="shared" si="33"/>
        <v>2.8</v>
      </c>
      <c r="CE20" s="44">
        <f t="shared" si="34"/>
        <v>25.846153846153847</v>
      </c>
      <c r="CG20" s="45">
        <f t="shared" si="35"/>
        <v>0.42857142857142855</v>
      </c>
      <c r="CH20" s="43">
        <v>1</v>
      </c>
      <c r="CI20" s="43">
        <v>1</v>
      </c>
    </row>
    <row r="21" spans="1:87" ht="19" x14ac:dyDescent="0.2">
      <c r="A21" s="4">
        <v>18</v>
      </c>
      <c r="B21" s="5">
        <v>92000163</v>
      </c>
      <c r="C21" s="4" t="s">
        <v>25</v>
      </c>
      <c r="D21" s="6" t="s">
        <v>6</v>
      </c>
      <c r="E21" s="32">
        <v>408</v>
      </c>
      <c r="F21" s="29">
        <v>1200</v>
      </c>
      <c r="G21" s="27"/>
      <c r="H21" s="27"/>
      <c r="I21" s="27">
        <v>200</v>
      </c>
      <c r="J21" s="27">
        <f t="shared" si="3"/>
        <v>1000</v>
      </c>
      <c r="K21" s="27">
        <f t="shared" si="36"/>
        <v>1000</v>
      </c>
      <c r="L21" s="27"/>
      <c r="M21" s="27"/>
      <c r="N21" s="27">
        <v>700</v>
      </c>
      <c r="O21" s="26">
        <f t="shared" si="4"/>
        <v>300</v>
      </c>
      <c r="P21" s="26">
        <f t="shared" si="5"/>
        <v>300</v>
      </c>
      <c r="Q21" s="27"/>
      <c r="R21" s="27"/>
      <c r="S21" s="27">
        <v>300</v>
      </c>
      <c r="T21" s="27">
        <f t="shared" si="6"/>
        <v>0</v>
      </c>
      <c r="U21" s="27">
        <f t="shared" si="7"/>
        <v>0</v>
      </c>
      <c r="V21" s="27"/>
      <c r="W21" s="27"/>
      <c r="X21" s="27">
        <v>0</v>
      </c>
      <c r="Y21" s="27">
        <f t="shared" si="8"/>
        <v>0</v>
      </c>
      <c r="Z21" s="27">
        <f t="shared" si="9"/>
        <v>0</v>
      </c>
      <c r="AA21" s="27">
        <v>8500</v>
      </c>
      <c r="AB21" s="27"/>
      <c r="AC21" s="27">
        <v>0</v>
      </c>
      <c r="AD21" s="27">
        <f t="shared" si="10"/>
        <v>8500</v>
      </c>
      <c r="AE21" s="27">
        <f t="shared" si="11"/>
        <v>8500</v>
      </c>
      <c r="AF21" s="27"/>
      <c r="AG21" s="27"/>
      <c r="AH21" s="27">
        <v>300</v>
      </c>
      <c r="AI21" s="27">
        <f t="shared" si="12"/>
        <v>8200</v>
      </c>
      <c r="AJ21" s="27">
        <f t="shared" si="13"/>
        <v>8200</v>
      </c>
      <c r="AK21" s="27"/>
      <c r="AL21" s="27"/>
      <c r="AM21" s="27">
        <v>0</v>
      </c>
      <c r="AN21" s="27">
        <f t="shared" si="14"/>
        <v>8200</v>
      </c>
      <c r="AO21" s="27">
        <f t="shared" si="15"/>
        <v>8200</v>
      </c>
      <c r="AP21" s="27"/>
      <c r="AQ21" s="27"/>
      <c r="AR21" s="27">
        <v>400</v>
      </c>
      <c r="AS21" s="27">
        <f t="shared" si="16"/>
        <v>7800</v>
      </c>
      <c r="AT21" s="27">
        <f t="shared" si="17"/>
        <v>7800</v>
      </c>
      <c r="AU21" s="27"/>
      <c r="AV21" s="27"/>
      <c r="AW21" s="27">
        <v>800</v>
      </c>
      <c r="AX21" s="27">
        <f t="shared" si="18"/>
        <v>7000</v>
      </c>
      <c r="AY21" s="27">
        <f t="shared" si="19"/>
        <v>7000</v>
      </c>
      <c r="AZ21" s="27"/>
      <c r="BA21" s="27"/>
      <c r="BB21" s="27">
        <v>1700</v>
      </c>
      <c r="BC21" s="27">
        <f t="shared" si="20"/>
        <v>5300</v>
      </c>
      <c r="BD21" s="27">
        <f t="shared" si="21"/>
        <v>5300</v>
      </c>
      <c r="BE21" s="27"/>
      <c r="BF21" s="27"/>
      <c r="BG21" s="27">
        <v>700</v>
      </c>
      <c r="BH21" s="27">
        <f t="shared" si="22"/>
        <v>4600</v>
      </c>
      <c r="BI21" s="27">
        <f t="shared" si="23"/>
        <v>4600</v>
      </c>
      <c r="BJ21" s="27"/>
      <c r="BK21" s="27"/>
      <c r="BL21" s="27">
        <v>700</v>
      </c>
      <c r="BM21" s="27">
        <f t="shared" si="24"/>
        <v>3900</v>
      </c>
      <c r="BN21" s="18">
        <f t="shared" si="25"/>
        <v>52100</v>
      </c>
      <c r="BO21" s="46">
        <f t="shared" si="26"/>
        <v>1200</v>
      </c>
      <c r="BP21" s="46">
        <f t="shared" si="27"/>
        <v>3900</v>
      </c>
      <c r="BQ21" s="46">
        <f t="shared" si="28"/>
        <v>2550</v>
      </c>
      <c r="BR21" s="18">
        <f t="shared" si="0"/>
        <v>8500</v>
      </c>
      <c r="BS21" s="18">
        <f t="shared" si="29"/>
        <v>5800</v>
      </c>
      <c r="BT21" s="18">
        <f t="shared" si="1"/>
        <v>54800</v>
      </c>
      <c r="BU21" s="18">
        <f t="shared" si="30"/>
        <v>9700</v>
      </c>
      <c r="BV21" s="18">
        <f t="shared" si="31"/>
        <v>483.33333333333331</v>
      </c>
      <c r="BW21" s="28">
        <f t="shared" si="2"/>
        <v>0</v>
      </c>
      <c r="BY21" s="2">
        <v>15000</v>
      </c>
      <c r="BZ21" s="42">
        <f t="shared" si="32"/>
        <v>2.5862068965517242</v>
      </c>
      <c r="CA21" s="43">
        <v>1</v>
      </c>
      <c r="CB21" s="43">
        <v>1</v>
      </c>
      <c r="CC21" s="43">
        <v>1</v>
      </c>
      <c r="CD21" s="44">
        <f t="shared" si="33"/>
        <v>3.8039215686274508</v>
      </c>
      <c r="CE21" s="44">
        <f t="shared" si="34"/>
        <v>20.068965517241381</v>
      </c>
      <c r="CG21" s="45">
        <f t="shared" si="35"/>
        <v>0</v>
      </c>
      <c r="CH21" s="43">
        <v>1</v>
      </c>
      <c r="CI21" s="43">
        <v>1</v>
      </c>
    </row>
    <row r="22" spans="1:87" ht="19" x14ac:dyDescent="0.2">
      <c r="A22" s="4">
        <v>19</v>
      </c>
      <c r="B22" s="5">
        <v>92000445</v>
      </c>
      <c r="C22" s="4" t="s">
        <v>26</v>
      </c>
      <c r="D22" s="6" t="s">
        <v>6</v>
      </c>
      <c r="E22" s="25">
        <v>26082</v>
      </c>
      <c r="F22" s="29">
        <v>0</v>
      </c>
      <c r="G22" s="27"/>
      <c r="H22" s="27"/>
      <c r="I22" s="27"/>
      <c r="J22" s="27">
        <f t="shared" si="3"/>
        <v>0</v>
      </c>
      <c r="K22" s="27">
        <f t="shared" si="36"/>
        <v>0</v>
      </c>
      <c r="L22" s="27"/>
      <c r="M22" s="27"/>
      <c r="N22" s="27">
        <v>0</v>
      </c>
      <c r="O22" s="26">
        <f t="shared" si="4"/>
        <v>0</v>
      </c>
      <c r="P22" s="26">
        <f t="shared" si="5"/>
        <v>0</v>
      </c>
      <c r="Q22" s="27"/>
      <c r="R22" s="27"/>
      <c r="S22" s="27">
        <v>0</v>
      </c>
      <c r="T22" s="27">
        <f t="shared" si="6"/>
        <v>0</v>
      </c>
      <c r="U22" s="27">
        <f t="shared" si="7"/>
        <v>0</v>
      </c>
      <c r="V22" s="27"/>
      <c r="W22" s="27"/>
      <c r="X22" s="27">
        <v>0</v>
      </c>
      <c r="Y22" s="27">
        <f t="shared" si="8"/>
        <v>0</v>
      </c>
      <c r="Z22" s="27">
        <f t="shared" si="9"/>
        <v>0</v>
      </c>
      <c r="AA22" s="27"/>
      <c r="AB22" s="27"/>
      <c r="AC22" s="27">
        <v>0</v>
      </c>
      <c r="AD22" s="27">
        <f t="shared" si="10"/>
        <v>0</v>
      </c>
      <c r="AE22" s="27">
        <f t="shared" si="11"/>
        <v>0</v>
      </c>
      <c r="AF22" s="27"/>
      <c r="AG22" s="27"/>
      <c r="AH22" s="27">
        <v>0</v>
      </c>
      <c r="AI22" s="27">
        <f t="shared" si="12"/>
        <v>0</v>
      </c>
      <c r="AJ22" s="27">
        <f t="shared" si="13"/>
        <v>0</v>
      </c>
      <c r="AK22" s="27"/>
      <c r="AL22" s="27"/>
      <c r="AM22" s="27">
        <v>0</v>
      </c>
      <c r="AN22" s="27">
        <f t="shared" si="14"/>
        <v>0</v>
      </c>
      <c r="AO22" s="27">
        <f t="shared" si="15"/>
        <v>0</v>
      </c>
      <c r="AP22" s="27"/>
      <c r="AQ22" s="27"/>
      <c r="AR22" s="27">
        <v>0</v>
      </c>
      <c r="AS22" s="27">
        <f t="shared" si="16"/>
        <v>0</v>
      </c>
      <c r="AT22" s="27">
        <f t="shared" si="17"/>
        <v>0</v>
      </c>
      <c r="AU22" s="27"/>
      <c r="AV22" s="27"/>
      <c r="AW22" s="27">
        <v>0</v>
      </c>
      <c r="AX22" s="27">
        <f t="shared" si="18"/>
        <v>0</v>
      </c>
      <c r="AY22" s="27">
        <f t="shared" si="19"/>
        <v>0</v>
      </c>
      <c r="AZ22" s="27"/>
      <c r="BA22" s="27"/>
      <c r="BB22" s="27">
        <v>0</v>
      </c>
      <c r="BC22" s="27">
        <f t="shared" si="20"/>
        <v>0</v>
      </c>
      <c r="BD22" s="27">
        <f t="shared" si="21"/>
        <v>0</v>
      </c>
      <c r="BE22" s="27"/>
      <c r="BF22" s="27"/>
      <c r="BG22" s="27">
        <v>0</v>
      </c>
      <c r="BH22" s="27">
        <f t="shared" si="22"/>
        <v>0</v>
      </c>
      <c r="BI22" s="27">
        <f t="shared" si="23"/>
        <v>0</v>
      </c>
      <c r="BJ22" s="27"/>
      <c r="BK22" s="27"/>
      <c r="BL22" s="27">
        <v>0</v>
      </c>
      <c r="BM22" s="27">
        <f t="shared" si="24"/>
        <v>0</v>
      </c>
      <c r="BN22" s="18">
        <f t="shared" si="25"/>
        <v>0</v>
      </c>
      <c r="BO22" s="46">
        <f t="shared" si="26"/>
        <v>0</v>
      </c>
      <c r="BP22" s="46">
        <f t="shared" si="27"/>
        <v>0</v>
      </c>
      <c r="BQ22" s="46">
        <f t="shared" si="28"/>
        <v>0</v>
      </c>
      <c r="BR22" s="18">
        <f t="shared" si="0"/>
        <v>0</v>
      </c>
      <c r="BS22" s="18">
        <f t="shared" si="29"/>
        <v>0</v>
      </c>
      <c r="BT22" s="18">
        <f t="shared" si="1"/>
        <v>0</v>
      </c>
      <c r="BU22" s="18">
        <f t="shared" si="30"/>
        <v>0</v>
      </c>
      <c r="BV22" s="18">
        <f t="shared" si="31"/>
        <v>0</v>
      </c>
      <c r="BW22" s="28">
        <f t="shared" si="2"/>
        <v>0</v>
      </c>
      <c r="BY22" s="2">
        <v>0</v>
      </c>
      <c r="BZ22" s="42" t="e">
        <f t="shared" si="32"/>
        <v>#DIV/0!</v>
      </c>
      <c r="CA22" s="43">
        <v>1</v>
      </c>
      <c r="CB22" s="43">
        <v>1</v>
      </c>
      <c r="CC22" s="43">
        <v>1</v>
      </c>
      <c r="CD22" s="44" t="e">
        <f t="shared" si="33"/>
        <v>#DIV/0!</v>
      </c>
      <c r="CE22" s="44" t="e">
        <f>BU22/BV22</f>
        <v>#DIV/0!</v>
      </c>
      <c r="CG22" s="45">
        <v>0</v>
      </c>
      <c r="CH22" s="43">
        <v>1</v>
      </c>
      <c r="CI22" s="43">
        <v>1</v>
      </c>
    </row>
    <row r="23" spans="1:87" ht="19" x14ac:dyDescent="0.2">
      <c r="A23" s="4">
        <v>20</v>
      </c>
      <c r="B23" s="5"/>
      <c r="C23" s="5" t="s">
        <v>62</v>
      </c>
      <c r="D23" s="7" t="s">
        <v>6</v>
      </c>
      <c r="E23" s="30">
        <v>177</v>
      </c>
      <c r="F23" s="29">
        <v>7800</v>
      </c>
      <c r="G23" s="27"/>
      <c r="H23" s="27"/>
      <c r="I23" s="27">
        <v>900</v>
      </c>
      <c r="J23" s="27">
        <f t="shared" si="3"/>
        <v>6900</v>
      </c>
      <c r="K23" s="27">
        <f t="shared" si="36"/>
        <v>6900</v>
      </c>
      <c r="L23" s="27"/>
      <c r="M23" s="27"/>
      <c r="N23" s="27">
        <v>900</v>
      </c>
      <c r="O23" s="26">
        <f t="shared" si="4"/>
        <v>6000</v>
      </c>
      <c r="P23" s="26">
        <f t="shared" si="5"/>
        <v>6000</v>
      </c>
      <c r="Q23" s="27"/>
      <c r="R23" s="27"/>
      <c r="S23" s="27">
        <v>800</v>
      </c>
      <c r="T23" s="27">
        <f t="shared" si="6"/>
        <v>5200</v>
      </c>
      <c r="U23" s="27">
        <f t="shared" si="7"/>
        <v>5200</v>
      </c>
      <c r="V23" s="27"/>
      <c r="W23" s="27"/>
      <c r="X23" s="27">
        <v>600</v>
      </c>
      <c r="Y23" s="27">
        <f t="shared" si="8"/>
        <v>4600</v>
      </c>
      <c r="Z23" s="27">
        <f t="shared" si="9"/>
        <v>4600</v>
      </c>
      <c r="AA23" s="27"/>
      <c r="AB23" s="27"/>
      <c r="AC23" s="27">
        <v>1500</v>
      </c>
      <c r="AD23" s="27">
        <f t="shared" si="10"/>
        <v>3100</v>
      </c>
      <c r="AE23" s="27">
        <f t="shared" si="11"/>
        <v>3100</v>
      </c>
      <c r="AF23" s="27">
        <v>4000</v>
      </c>
      <c r="AG23" s="27"/>
      <c r="AH23" s="27">
        <v>1000</v>
      </c>
      <c r="AI23" s="27">
        <f t="shared" si="12"/>
        <v>6100</v>
      </c>
      <c r="AJ23" s="27">
        <f t="shared" si="13"/>
        <v>6100</v>
      </c>
      <c r="AK23" s="27"/>
      <c r="AL23" s="27"/>
      <c r="AM23" s="27">
        <v>900</v>
      </c>
      <c r="AN23" s="27">
        <f t="shared" si="14"/>
        <v>5200</v>
      </c>
      <c r="AO23" s="27">
        <f t="shared" si="15"/>
        <v>5200</v>
      </c>
      <c r="AP23" s="27"/>
      <c r="AQ23" s="27"/>
      <c r="AR23" s="27">
        <v>900</v>
      </c>
      <c r="AS23" s="27">
        <f t="shared" si="16"/>
        <v>4300</v>
      </c>
      <c r="AT23" s="27">
        <f t="shared" si="17"/>
        <v>4300</v>
      </c>
      <c r="AU23" s="27"/>
      <c r="AV23" s="27"/>
      <c r="AW23" s="27">
        <v>700</v>
      </c>
      <c r="AX23" s="27">
        <f t="shared" si="18"/>
        <v>3600</v>
      </c>
      <c r="AY23" s="27">
        <f t="shared" si="19"/>
        <v>3600</v>
      </c>
      <c r="AZ23" s="27"/>
      <c r="BA23" s="27"/>
      <c r="BB23" s="27">
        <v>1000</v>
      </c>
      <c r="BC23" s="27">
        <f t="shared" si="20"/>
        <v>2600</v>
      </c>
      <c r="BD23" s="27">
        <f t="shared" si="21"/>
        <v>2600</v>
      </c>
      <c r="BE23" s="27"/>
      <c r="BF23" s="27"/>
      <c r="BG23" s="27">
        <v>400</v>
      </c>
      <c r="BH23" s="27">
        <f t="shared" si="22"/>
        <v>2200</v>
      </c>
      <c r="BI23" s="27">
        <f t="shared" si="23"/>
        <v>2200</v>
      </c>
      <c r="BJ23" s="27"/>
      <c r="BK23" s="27"/>
      <c r="BL23" s="27">
        <v>600</v>
      </c>
      <c r="BM23" s="27">
        <f t="shared" si="24"/>
        <v>1600</v>
      </c>
      <c r="BN23" s="18">
        <f t="shared" si="25"/>
        <v>57600</v>
      </c>
      <c r="BO23" s="46">
        <f t="shared" si="26"/>
        <v>7800</v>
      </c>
      <c r="BP23" s="46">
        <f t="shared" si="27"/>
        <v>1600</v>
      </c>
      <c r="BQ23" s="46">
        <f t="shared" si="28"/>
        <v>4700</v>
      </c>
      <c r="BR23" s="18">
        <f t="shared" si="0"/>
        <v>4000</v>
      </c>
      <c r="BS23" s="18">
        <f t="shared" si="29"/>
        <v>10200</v>
      </c>
      <c r="BT23" s="18">
        <f t="shared" si="1"/>
        <v>51400</v>
      </c>
      <c r="BU23" s="18">
        <f t="shared" si="30"/>
        <v>11800</v>
      </c>
      <c r="BV23" s="18">
        <f t="shared" si="31"/>
        <v>850</v>
      </c>
      <c r="BW23" s="28">
        <f t="shared" si="2"/>
        <v>0</v>
      </c>
      <c r="BY23" s="2">
        <v>15000</v>
      </c>
      <c r="BZ23" s="42">
        <f t="shared" si="32"/>
        <v>1.4705882352941178</v>
      </c>
      <c r="CA23" s="43">
        <v>1</v>
      </c>
      <c r="CB23" s="43">
        <v>1</v>
      </c>
      <c r="CC23" s="43">
        <v>1</v>
      </c>
      <c r="CD23" s="44">
        <f t="shared" si="33"/>
        <v>2.5106382978723403</v>
      </c>
      <c r="CE23" s="44">
        <f t="shared" si="34"/>
        <v>13.882352941176471</v>
      </c>
      <c r="CG23" s="45">
        <f t="shared" si="35"/>
        <v>0</v>
      </c>
      <c r="CH23" s="43">
        <v>1</v>
      </c>
      <c r="CI23" s="43">
        <v>1</v>
      </c>
    </row>
    <row r="24" spans="1:87" ht="19" x14ac:dyDescent="0.2">
      <c r="A24" s="4">
        <v>21</v>
      </c>
      <c r="B24" s="5">
        <v>92001124</v>
      </c>
      <c r="C24" s="5" t="s">
        <v>27</v>
      </c>
      <c r="D24" s="7" t="s">
        <v>6</v>
      </c>
      <c r="E24" s="32">
        <v>62.56</v>
      </c>
      <c r="F24" s="29">
        <v>7700</v>
      </c>
      <c r="G24" s="27"/>
      <c r="H24" s="27"/>
      <c r="I24" s="27">
        <v>2900</v>
      </c>
      <c r="J24" s="27">
        <f t="shared" si="3"/>
        <v>4800</v>
      </c>
      <c r="K24" s="27">
        <f t="shared" si="36"/>
        <v>4800</v>
      </c>
      <c r="L24" s="27"/>
      <c r="M24" s="27"/>
      <c r="N24" s="27">
        <v>2700</v>
      </c>
      <c r="O24" s="26">
        <f t="shared" si="4"/>
        <v>2100</v>
      </c>
      <c r="P24" s="26">
        <f t="shared" si="5"/>
        <v>2100</v>
      </c>
      <c r="Q24" s="27">
        <v>5000</v>
      </c>
      <c r="R24" s="27"/>
      <c r="S24" s="27">
        <v>2100</v>
      </c>
      <c r="T24" s="27">
        <f t="shared" si="6"/>
        <v>5000</v>
      </c>
      <c r="U24" s="27">
        <f t="shared" si="7"/>
        <v>5000</v>
      </c>
      <c r="V24" s="27"/>
      <c r="W24" s="27"/>
      <c r="X24" s="27">
        <v>3300</v>
      </c>
      <c r="Y24" s="27">
        <f t="shared" si="8"/>
        <v>1700</v>
      </c>
      <c r="Z24" s="27">
        <f t="shared" si="9"/>
        <v>1700</v>
      </c>
      <c r="AA24" s="27">
        <v>21200</v>
      </c>
      <c r="AB24" s="27"/>
      <c r="AC24" s="27">
        <v>1700</v>
      </c>
      <c r="AD24" s="27">
        <f t="shared" si="10"/>
        <v>21200</v>
      </c>
      <c r="AE24" s="27">
        <f t="shared" si="11"/>
        <v>21200</v>
      </c>
      <c r="AF24" s="27"/>
      <c r="AG24" s="27"/>
      <c r="AH24" s="27">
        <v>2200</v>
      </c>
      <c r="AI24" s="27">
        <f t="shared" si="12"/>
        <v>19000</v>
      </c>
      <c r="AJ24" s="27">
        <f t="shared" si="13"/>
        <v>19000</v>
      </c>
      <c r="AK24" s="27"/>
      <c r="AL24" s="27"/>
      <c r="AM24" s="27">
        <v>2600</v>
      </c>
      <c r="AN24" s="27">
        <f t="shared" si="14"/>
        <v>16400</v>
      </c>
      <c r="AO24" s="27">
        <f t="shared" si="15"/>
        <v>16400</v>
      </c>
      <c r="AP24" s="27"/>
      <c r="AQ24" s="27"/>
      <c r="AR24" s="27">
        <v>4200</v>
      </c>
      <c r="AS24" s="27">
        <f t="shared" si="16"/>
        <v>12200</v>
      </c>
      <c r="AT24" s="27">
        <f t="shared" si="17"/>
        <v>12200</v>
      </c>
      <c r="AU24" s="27"/>
      <c r="AV24" s="27"/>
      <c r="AW24" s="27">
        <v>1600</v>
      </c>
      <c r="AX24" s="27">
        <f t="shared" si="18"/>
        <v>10600</v>
      </c>
      <c r="AY24" s="27">
        <f t="shared" si="19"/>
        <v>10600</v>
      </c>
      <c r="AZ24" s="27"/>
      <c r="BA24" s="27"/>
      <c r="BB24" s="27">
        <v>2300</v>
      </c>
      <c r="BC24" s="27">
        <f t="shared" si="20"/>
        <v>8300</v>
      </c>
      <c r="BD24" s="27">
        <f t="shared" si="21"/>
        <v>8300</v>
      </c>
      <c r="BE24" s="27"/>
      <c r="BF24" s="27"/>
      <c r="BG24" s="27">
        <v>2100</v>
      </c>
      <c r="BH24" s="27">
        <f t="shared" si="22"/>
        <v>6200</v>
      </c>
      <c r="BI24" s="27">
        <f t="shared" si="23"/>
        <v>6200</v>
      </c>
      <c r="BJ24" s="27"/>
      <c r="BK24" s="27"/>
      <c r="BL24" s="27">
        <v>2200</v>
      </c>
      <c r="BM24" s="27">
        <f t="shared" si="24"/>
        <v>4000</v>
      </c>
      <c r="BN24" s="18">
        <f t="shared" si="25"/>
        <v>115200</v>
      </c>
      <c r="BO24" s="46">
        <f t="shared" si="26"/>
        <v>7700</v>
      </c>
      <c r="BP24" s="46">
        <f t="shared" si="27"/>
        <v>4000</v>
      </c>
      <c r="BQ24" s="46">
        <f t="shared" si="28"/>
        <v>5850</v>
      </c>
      <c r="BR24" s="18">
        <f t="shared" si="0"/>
        <v>26200</v>
      </c>
      <c r="BS24" s="18">
        <f t="shared" si="29"/>
        <v>29900</v>
      </c>
      <c r="BT24" s="18">
        <f t="shared" si="1"/>
        <v>111500</v>
      </c>
      <c r="BU24" s="18">
        <f t="shared" si="30"/>
        <v>33900</v>
      </c>
      <c r="BV24" s="18">
        <f t="shared" si="31"/>
        <v>2491.6666666666665</v>
      </c>
      <c r="BW24" s="28">
        <f t="shared" si="2"/>
        <v>0</v>
      </c>
      <c r="BY24" s="2">
        <v>50000</v>
      </c>
      <c r="BZ24" s="42">
        <f t="shared" si="32"/>
        <v>1.6722408026755853</v>
      </c>
      <c r="CA24" s="43">
        <v>1</v>
      </c>
      <c r="CB24" s="43">
        <v>1</v>
      </c>
      <c r="CC24" s="43">
        <v>1</v>
      </c>
      <c r="CD24" s="44">
        <f t="shared" si="33"/>
        <v>5.7948717948717947</v>
      </c>
      <c r="CE24" s="44">
        <f t="shared" si="34"/>
        <v>13.605351170568563</v>
      </c>
      <c r="CG24" s="45">
        <f t="shared" si="35"/>
        <v>0</v>
      </c>
      <c r="CH24" s="43">
        <v>1</v>
      </c>
      <c r="CI24" s="43">
        <v>1</v>
      </c>
    </row>
    <row r="25" spans="1:87" ht="19" x14ac:dyDescent="0.2">
      <c r="A25" s="4">
        <v>22</v>
      </c>
      <c r="B25" s="5"/>
      <c r="C25" s="5" t="s">
        <v>28</v>
      </c>
      <c r="D25" s="7"/>
      <c r="E25" s="32">
        <v>149</v>
      </c>
      <c r="F25" s="29">
        <v>6600</v>
      </c>
      <c r="G25" s="27"/>
      <c r="H25" s="27"/>
      <c r="I25" s="27">
        <v>100</v>
      </c>
      <c r="J25" s="27">
        <f t="shared" si="3"/>
        <v>6500</v>
      </c>
      <c r="K25" s="27">
        <f t="shared" si="36"/>
        <v>6500</v>
      </c>
      <c r="L25" s="27"/>
      <c r="M25" s="27"/>
      <c r="N25" s="27">
        <v>100</v>
      </c>
      <c r="O25" s="26">
        <f t="shared" si="4"/>
        <v>6400</v>
      </c>
      <c r="P25" s="26">
        <f t="shared" si="5"/>
        <v>6400</v>
      </c>
      <c r="Q25" s="27">
        <v>500</v>
      </c>
      <c r="R25" s="27"/>
      <c r="S25" s="27">
        <v>1100</v>
      </c>
      <c r="T25" s="27">
        <f t="shared" si="6"/>
        <v>5800</v>
      </c>
      <c r="U25" s="27">
        <f t="shared" si="7"/>
        <v>5800</v>
      </c>
      <c r="V25" s="27"/>
      <c r="W25" s="27"/>
      <c r="X25" s="27">
        <v>100</v>
      </c>
      <c r="Y25" s="27">
        <f t="shared" si="8"/>
        <v>5700</v>
      </c>
      <c r="Z25" s="27">
        <f t="shared" si="9"/>
        <v>5700</v>
      </c>
      <c r="AA25" s="27"/>
      <c r="AB25" s="27"/>
      <c r="AC25" s="27">
        <v>0</v>
      </c>
      <c r="AD25" s="27">
        <f t="shared" si="10"/>
        <v>5700</v>
      </c>
      <c r="AE25" s="27">
        <f t="shared" si="11"/>
        <v>5700</v>
      </c>
      <c r="AF25" s="27"/>
      <c r="AG25" s="27"/>
      <c r="AH25" s="27">
        <v>400</v>
      </c>
      <c r="AI25" s="27">
        <f t="shared" si="12"/>
        <v>5300</v>
      </c>
      <c r="AJ25" s="27">
        <f t="shared" si="13"/>
        <v>5300</v>
      </c>
      <c r="AK25" s="27"/>
      <c r="AL25" s="27"/>
      <c r="AM25" s="27">
        <v>400</v>
      </c>
      <c r="AN25" s="27">
        <f t="shared" si="14"/>
        <v>4900</v>
      </c>
      <c r="AO25" s="27">
        <f t="shared" si="15"/>
        <v>4900</v>
      </c>
      <c r="AP25" s="27"/>
      <c r="AQ25" s="27"/>
      <c r="AR25" s="27">
        <v>800</v>
      </c>
      <c r="AS25" s="27">
        <f t="shared" si="16"/>
        <v>4100</v>
      </c>
      <c r="AT25" s="27">
        <f t="shared" si="17"/>
        <v>4100</v>
      </c>
      <c r="AU25" s="27"/>
      <c r="AV25" s="27">
        <v>1100</v>
      </c>
      <c r="AW25" s="27">
        <v>600</v>
      </c>
      <c r="AX25" s="27">
        <f t="shared" si="18"/>
        <v>2400</v>
      </c>
      <c r="AY25" s="27">
        <f t="shared" si="19"/>
        <v>2400</v>
      </c>
      <c r="AZ25" s="27"/>
      <c r="BA25" s="27"/>
      <c r="BB25" s="27">
        <v>1400</v>
      </c>
      <c r="BC25" s="27">
        <f t="shared" si="20"/>
        <v>1000</v>
      </c>
      <c r="BD25" s="27">
        <f t="shared" si="21"/>
        <v>1000</v>
      </c>
      <c r="BE25" s="27"/>
      <c r="BF25" s="27"/>
      <c r="BG25" s="27">
        <v>800</v>
      </c>
      <c r="BH25" s="27">
        <f t="shared" si="22"/>
        <v>200</v>
      </c>
      <c r="BI25" s="27">
        <f t="shared" si="23"/>
        <v>200</v>
      </c>
      <c r="BJ25" s="27"/>
      <c r="BK25" s="27"/>
      <c r="BL25" s="27">
        <v>200</v>
      </c>
      <c r="BM25" s="27">
        <f t="shared" si="24"/>
        <v>0</v>
      </c>
      <c r="BN25" s="18">
        <f t="shared" si="25"/>
        <v>54600</v>
      </c>
      <c r="BO25" s="46">
        <f t="shared" si="26"/>
        <v>6600</v>
      </c>
      <c r="BP25" s="46">
        <f t="shared" si="27"/>
        <v>1100</v>
      </c>
      <c r="BQ25" s="46">
        <f t="shared" si="28"/>
        <v>3850</v>
      </c>
      <c r="BR25" s="18">
        <f t="shared" si="0"/>
        <v>500</v>
      </c>
      <c r="BS25" s="18">
        <f t="shared" si="29"/>
        <v>6000</v>
      </c>
      <c r="BT25" s="18">
        <f t="shared" si="1"/>
        <v>49100</v>
      </c>
      <c r="BU25" s="18">
        <f t="shared" si="30"/>
        <v>7100</v>
      </c>
      <c r="BV25" s="18">
        <f t="shared" si="31"/>
        <v>500</v>
      </c>
      <c r="BW25" s="28">
        <f t="shared" si="2"/>
        <v>1100</v>
      </c>
      <c r="BY25" s="2">
        <v>15000</v>
      </c>
      <c r="BZ25" s="42">
        <f t="shared" si="32"/>
        <v>2.5</v>
      </c>
      <c r="CA25" s="43">
        <v>1</v>
      </c>
      <c r="CB25" s="43">
        <v>1</v>
      </c>
      <c r="CC25" s="43">
        <v>1</v>
      </c>
      <c r="CD25" s="44">
        <f t="shared" si="33"/>
        <v>1.8441558441558441</v>
      </c>
      <c r="CE25" s="44">
        <f t="shared" si="34"/>
        <v>14.2</v>
      </c>
      <c r="CG25" s="45">
        <f t="shared" si="35"/>
        <v>0.15492957746478872</v>
      </c>
      <c r="CH25" s="43">
        <v>1</v>
      </c>
      <c r="CI25" s="43">
        <v>1</v>
      </c>
    </row>
    <row r="26" spans="1:87" ht="19" x14ac:dyDescent="0.2">
      <c r="A26" s="4">
        <v>23</v>
      </c>
      <c r="B26" s="5">
        <v>92000572</v>
      </c>
      <c r="C26" s="4" t="s">
        <v>29</v>
      </c>
      <c r="D26" s="6" t="s">
        <v>16</v>
      </c>
      <c r="E26" s="34">
        <v>1763.9</v>
      </c>
      <c r="F26" s="29">
        <v>100</v>
      </c>
      <c r="G26" s="27"/>
      <c r="H26" s="27"/>
      <c r="I26" s="27">
        <v>75</v>
      </c>
      <c r="J26" s="27">
        <f t="shared" si="3"/>
        <v>25</v>
      </c>
      <c r="K26" s="27">
        <f t="shared" si="36"/>
        <v>25</v>
      </c>
      <c r="L26" s="27"/>
      <c r="M26" s="27"/>
      <c r="N26" s="27">
        <v>25</v>
      </c>
      <c r="O26" s="26">
        <f t="shared" si="4"/>
        <v>0</v>
      </c>
      <c r="P26" s="26">
        <f t="shared" si="5"/>
        <v>0</v>
      </c>
      <c r="Q26" s="27">
        <v>200</v>
      </c>
      <c r="R26" s="27"/>
      <c r="S26" s="27">
        <v>0</v>
      </c>
      <c r="T26" s="27">
        <f t="shared" si="6"/>
        <v>200</v>
      </c>
      <c r="U26" s="27">
        <f t="shared" si="7"/>
        <v>200</v>
      </c>
      <c r="V26" s="27"/>
      <c r="W26" s="27"/>
      <c r="X26" s="27">
        <v>60</v>
      </c>
      <c r="Y26" s="27">
        <f t="shared" si="8"/>
        <v>140</v>
      </c>
      <c r="Z26" s="27">
        <f t="shared" si="9"/>
        <v>140</v>
      </c>
      <c r="AA26" s="27"/>
      <c r="AB26" s="27"/>
      <c r="AC26" s="27">
        <v>59</v>
      </c>
      <c r="AD26" s="27">
        <f t="shared" si="10"/>
        <v>81</v>
      </c>
      <c r="AE26" s="27">
        <f t="shared" si="11"/>
        <v>81</v>
      </c>
      <c r="AF26" s="27">
        <v>50</v>
      </c>
      <c r="AG26" s="27"/>
      <c r="AH26" s="27">
        <v>56</v>
      </c>
      <c r="AI26" s="27">
        <f t="shared" si="12"/>
        <v>75</v>
      </c>
      <c r="AJ26" s="27">
        <f t="shared" si="13"/>
        <v>75</v>
      </c>
      <c r="AK26" s="27"/>
      <c r="AL26" s="27"/>
      <c r="AM26" s="27">
        <v>39</v>
      </c>
      <c r="AN26" s="27">
        <f t="shared" si="14"/>
        <v>36</v>
      </c>
      <c r="AO26" s="27">
        <f t="shared" si="15"/>
        <v>36</v>
      </c>
      <c r="AP26" s="27"/>
      <c r="AQ26" s="27"/>
      <c r="AR26" s="27">
        <v>2</v>
      </c>
      <c r="AS26" s="27">
        <f t="shared" si="16"/>
        <v>34</v>
      </c>
      <c r="AT26" s="27">
        <f t="shared" si="17"/>
        <v>34</v>
      </c>
      <c r="AU26" s="27"/>
      <c r="AV26" s="27"/>
      <c r="AW26" s="27">
        <v>0</v>
      </c>
      <c r="AX26" s="27">
        <f t="shared" si="18"/>
        <v>34</v>
      </c>
      <c r="AY26" s="27">
        <f t="shared" si="19"/>
        <v>34</v>
      </c>
      <c r="AZ26" s="27"/>
      <c r="BA26" s="27"/>
      <c r="BB26" s="27">
        <v>17</v>
      </c>
      <c r="BC26" s="27">
        <f t="shared" si="20"/>
        <v>17</v>
      </c>
      <c r="BD26" s="27">
        <f t="shared" si="21"/>
        <v>17</v>
      </c>
      <c r="BE26" s="27"/>
      <c r="BF26" s="27"/>
      <c r="BG26" s="27">
        <v>0</v>
      </c>
      <c r="BH26" s="27">
        <f t="shared" si="22"/>
        <v>17</v>
      </c>
      <c r="BI26" s="27">
        <f t="shared" si="23"/>
        <v>17</v>
      </c>
      <c r="BJ26" s="27"/>
      <c r="BK26" s="27"/>
      <c r="BL26" s="27">
        <v>0</v>
      </c>
      <c r="BM26" s="27">
        <f t="shared" si="24"/>
        <v>17</v>
      </c>
      <c r="BN26" s="18">
        <f t="shared" si="25"/>
        <v>759</v>
      </c>
      <c r="BO26" s="46">
        <f t="shared" si="26"/>
        <v>100</v>
      </c>
      <c r="BP26" s="46">
        <f t="shared" si="27"/>
        <v>17</v>
      </c>
      <c r="BQ26" s="46">
        <f t="shared" si="28"/>
        <v>58.5</v>
      </c>
      <c r="BR26" s="18">
        <f t="shared" si="0"/>
        <v>250</v>
      </c>
      <c r="BS26" s="18">
        <f t="shared" si="29"/>
        <v>333</v>
      </c>
      <c r="BT26" s="18">
        <f t="shared" si="1"/>
        <v>676</v>
      </c>
      <c r="BU26" s="18">
        <f t="shared" si="30"/>
        <v>350</v>
      </c>
      <c r="BV26" s="18">
        <f t="shared" si="31"/>
        <v>27.75</v>
      </c>
      <c r="BW26" s="28">
        <f t="shared" si="2"/>
        <v>0</v>
      </c>
      <c r="BY26" s="2">
        <v>1000</v>
      </c>
      <c r="BZ26" s="42">
        <f t="shared" si="32"/>
        <v>3.0030030030030028</v>
      </c>
      <c r="CA26" s="43">
        <v>1</v>
      </c>
      <c r="CB26" s="43">
        <v>1</v>
      </c>
      <c r="CC26" s="43">
        <v>1</v>
      </c>
      <c r="CD26" s="44">
        <f t="shared" si="33"/>
        <v>5.982905982905983</v>
      </c>
      <c r="CE26" s="44">
        <f t="shared" si="34"/>
        <v>12.612612612612613</v>
      </c>
      <c r="CG26" s="45">
        <f t="shared" si="35"/>
        <v>0</v>
      </c>
      <c r="CH26" s="43">
        <v>1</v>
      </c>
      <c r="CI26" s="43">
        <v>1</v>
      </c>
    </row>
    <row r="27" spans="1:87" ht="19" x14ac:dyDescent="0.2">
      <c r="A27" s="4">
        <v>24</v>
      </c>
      <c r="B27" s="5">
        <v>92000706</v>
      </c>
      <c r="C27" s="4" t="s">
        <v>30</v>
      </c>
      <c r="D27" s="6" t="s">
        <v>6</v>
      </c>
      <c r="E27" s="25">
        <v>83.75</v>
      </c>
      <c r="F27" s="27">
        <v>0</v>
      </c>
      <c r="G27" s="27"/>
      <c r="H27" s="27"/>
      <c r="I27" s="27">
        <v>0</v>
      </c>
      <c r="J27" s="27">
        <f t="shared" si="3"/>
        <v>0</v>
      </c>
      <c r="K27" s="27">
        <f t="shared" si="36"/>
        <v>0</v>
      </c>
      <c r="L27" s="27"/>
      <c r="M27" s="27"/>
      <c r="N27" s="27">
        <v>0</v>
      </c>
      <c r="O27" s="26">
        <f t="shared" si="4"/>
        <v>0</v>
      </c>
      <c r="P27" s="26">
        <f t="shared" si="5"/>
        <v>0</v>
      </c>
      <c r="Q27" s="27"/>
      <c r="R27" s="27"/>
      <c r="S27" s="27">
        <v>0</v>
      </c>
      <c r="T27" s="27">
        <f t="shared" si="6"/>
        <v>0</v>
      </c>
      <c r="U27" s="27">
        <f t="shared" si="7"/>
        <v>0</v>
      </c>
      <c r="V27" s="27"/>
      <c r="W27" s="27"/>
      <c r="X27" s="27">
        <v>0</v>
      </c>
      <c r="Y27" s="27">
        <f t="shared" si="8"/>
        <v>0</v>
      </c>
      <c r="Z27" s="27">
        <f t="shared" si="9"/>
        <v>0</v>
      </c>
      <c r="AA27" s="27"/>
      <c r="AB27" s="27"/>
      <c r="AC27" s="27">
        <v>0</v>
      </c>
      <c r="AD27" s="27">
        <f t="shared" si="10"/>
        <v>0</v>
      </c>
      <c r="AE27" s="27">
        <f t="shared" si="11"/>
        <v>0</v>
      </c>
      <c r="AF27" s="27"/>
      <c r="AG27" s="27"/>
      <c r="AH27" s="27">
        <v>0</v>
      </c>
      <c r="AI27" s="27">
        <f t="shared" si="12"/>
        <v>0</v>
      </c>
      <c r="AJ27" s="27">
        <f t="shared" si="13"/>
        <v>0</v>
      </c>
      <c r="AK27" s="27"/>
      <c r="AL27" s="27"/>
      <c r="AM27" s="27">
        <v>0</v>
      </c>
      <c r="AN27" s="27">
        <f t="shared" si="14"/>
        <v>0</v>
      </c>
      <c r="AO27" s="27">
        <f t="shared" si="15"/>
        <v>0</v>
      </c>
      <c r="AP27" s="27"/>
      <c r="AQ27" s="27"/>
      <c r="AR27" s="27">
        <v>0</v>
      </c>
      <c r="AS27" s="27">
        <f t="shared" si="16"/>
        <v>0</v>
      </c>
      <c r="AT27" s="27">
        <f t="shared" si="17"/>
        <v>0</v>
      </c>
      <c r="AU27" s="27"/>
      <c r="AV27" s="27"/>
      <c r="AW27" s="27">
        <v>0</v>
      </c>
      <c r="AX27" s="27">
        <f t="shared" si="18"/>
        <v>0</v>
      </c>
      <c r="AY27" s="27">
        <f t="shared" si="19"/>
        <v>0</v>
      </c>
      <c r="AZ27" s="27"/>
      <c r="BA27" s="27"/>
      <c r="BB27" s="27">
        <v>0</v>
      </c>
      <c r="BC27" s="27">
        <f t="shared" si="20"/>
        <v>0</v>
      </c>
      <c r="BD27" s="27">
        <f t="shared" si="21"/>
        <v>0</v>
      </c>
      <c r="BE27" s="27"/>
      <c r="BF27" s="27"/>
      <c r="BG27" s="27">
        <v>0</v>
      </c>
      <c r="BH27" s="27">
        <f t="shared" si="22"/>
        <v>0</v>
      </c>
      <c r="BI27" s="27">
        <f t="shared" si="23"/>
        <v>0</v>
      </c>
      <c r="BJ27" s="27"/>
      <c r="BK27" s="27"/>
      <c r="BL27" s="27">
        <v>0</v>
      </c>
      <c r="BM27" s="27">
        <f t="shared" si="24"/>
        <v>0</v>
      </c>
      <c r="BN27" s="18">
        <f t="shared" si="25"/>
        <v>0</v>
      </c>
      <c r="BO27" s="46">
        <f t="shared" si="26"/>
        <v>0</v>
      </c>
      <c r="BP27" s="46">
        <f t="shared" si="27"/>
        <v>0</v>
      </c>
      <c r="BQ27" s="46">
        <f t="shared" si="28"/>
        <v>0</v>
      </c>
      <c r="BR27" s="18">
        <f t="shared" si="0"/>
        <v>0</v>
      </c>
      <c r="BS27" s="18">
        <f t="shared" si="29"/>
        <v>0</v>
      </c>
      <c r="BT27" s="18">
        <f t="shared" si="1"/>
        <v>0</v>
      </c>
      <c r="BU27" s="18">
        <f t="shared" si="30"/>
        <v>0</v>
      </c>
      <c r="BV27" s="18">
        <f t="shared" si="31"/>
        <v>0</v>
      </c>
      <c r="BW27" s="28">
        <f t="shared" si="2"/>
        <v>0</v>
      </c>
      <c r="BY27" s="2">
        <v>10000</v>
      </c>
      <c r="BZ27" s="42" t="e">
        <f t="shared" si="32"/>
        <v>#DIV/0!</v>
      </c>
      <c r="CA27" s="43">
        <v>1</v>
      </c>
      <c r="CB27" s="43">
        <v>1</v>
      </c>
      <c r="CC27" s="43">
        <v>1</v>
      </c>
      <c r="CD27" s="44" t="e">
        <f t="shared" si="33"/>
        <v>#DIV/0!</v>
      </c>
      <c r="CE27" s="44" t="e">
        <f>BU27/BV27</f>
        <v>#DIV/0!</v>
      </c>
      <c r="CG27" s="45">
        <v>0</v>
      </c>
      <c r="CH27" s="43">
        <v>1</v>
      </c>
      <c r="CI27" s="43">
        <v>1</v>
      </c>
    </row>
    <row r="28" spans="1:87" ht="19" x14ac:dyDescent="0.2">
      <c r="A28" s="4">
        <v>25</v>
      </c>
      <c r="B28" s="5">
        <v>92001386</v>
      </c>
      <c r="C28" s="5" t="s">
        <v>31</v>
      </c>
      <c r="D28" s="7" t="s">
        <v>6</v>
      </c>
      <c r="E28" s="32">
        <v>141</v>
      </c>
      <c r="F28" s="29">
        <v>1400</v>
      </c>
      <c r="G28" s="27"/>
      <c r="H28" s="27"/>
      <c r="I28" s="27">
        <v>300</v>
      </c>
      <c r="J28" s="27">
        <f t="shared" si="3"/>
        <v>1100</v>
      </c>
      <c r="K28" s="27">
        <f t="shared" si="36"/>
        <v>1100</v>
      </c>
      <c r="L28" s="27"/>
      <c r="M28" s="27"/>
      <c r="N28" s="27">
        <v>100</v>
      </c>
      <c r="O28" s="26">
        <f t="shared" si="4"/>
        <v>1000</v>
      </c>
      <c r="P28" s="26">
        <f t="shared" si="5"/>
        <v>1000</v>
      </c>
      <c r="Q28" s="27"/>
      <c r="R28" s="27"/>
      <c r="S28" s="27">
        <v>500</v>
      </c>
      <c r="T28" s="27">
        <f t="shared" si="6"/>
        <v>500</v>
      </c>
      <c r="U28" s="27">
        <f t="shared" si="7"/>
        <v>500</v>
      </c>
      <c r="V28" s="27"/>
      <c r="W28" s="27"/>
      <c r="X28" s="27">
        <v>200</v>
      </c>
      <c r="Y28" s="27">
        <f t="shared" si="8"/>
        <v>300</v>
      </c>
      <c r="Z28" s="27">
        <f t="shared" si="9"/>
        <v>300</v>
      </c>
      <c r="AA28" s="27"/>
      <c r="AB28" s="27"/>
      <c r="AC28" s="27">
        <v>0</v>
      </c>
      <c r="AD28" s="27">
        <f t="shared" si="10"/>
        <v>300</v>
      </c>
      <c r="AE28" s="27">
        <f t="shared" si="11"/>
        <v>300</v>
      </c>
      <c r="AF28" s="27"/>
      <c r="AG28" s="27"/>
      <c r="AH28" s="27">
        <v>300</v>
      </c>
      <c r="AI28" s="27">
        <f t="shared" si="12"/>
        <v>0</v>
      </c>
      <c r="AJ28" s="27">
        <f t="shared" si="13"/>
        <v>0</v>
      </c>
      <c r="AK28" s="27"/>
      <c r="AL28" s="27"/>
      <c r="AM28" s="27">
        <v>0</v>
      </c>
      <c r="AN28" s="27">
        <f t="shared" si="14"/>
        <v>0</v>
      </c>
      <c r="AO28" s="27">
        <f t="shared" si="15"/>
        <v>0</v>
      </c>
      <c r="AP28" s="27"/>
      <c r="AQ28" s="27"/>
      <c r="AR28" s="27">
        <v>0</v>
      </c>
      <c r="AS28" s="27">
        <f t="shared" si="16"/>
        <v>0</v>
      </c>
      <c r="AT28" s="27">
        <f t="shared" si="17"/>
        <v>0</v>
      </c>
      <c r="AU28" s="27"/>
      <c r="AV28" s="27"/>
      <c r="AW28" s="27">
        <v>0</v>
      </c>
      <c r="AX28" s="27">
        <f t="shared" si="18"/>
        <v>0</v>
      </c>
      <c r="AY28" s="27">
        <f t="shared" si="19"/>
        <v>0</v>
      </c>
      <c r="AZ28" s="27"/>
      <c r="BA28" s="27"/>
      <c r="BB28" s="27">
        <v>0</v>
      </c>
      <c r="BC28" s="27">
        <f t="shared" si="20"/>
        <v>0</v>
      </c>
      <c r="BD28" s="27">
        <f t="shared" si="21"/>
        <v>0</v>
      </c>
      <c r="BE28" s="27"/>
      <c r="BF28" s="27"/>
      <c r="BG28" s="27">
        <v>0</v>
      </c>
      <c r="BH28" s="27">
        <f t="shared" si="22"/>
        <v>0</v>
      </c>
      <c r="BI28" s="27">
        <f t="shared" si="23"/>
        <v>0</v>
      </c>
      <c r="BJ28" s="27">
        <v>1000</v>
      </c>
      <c r="BK28" s="27"/>
      <c r="BL28" s="27">
        <v>800</v>
      </c>
      <c r="BM28" s="27">
        <f t="shared" si="24"/>
        <v>200</v>
      </c>
      <c r="BN28" s="18">
        <f t="shared" si="25"/>
        <v>4600</v>
      </c>
      <c r="BO28" s="46">
        <f t="shared" si="26"/>
        <v>1400</v>
      </c>
      <c r="BP28" s="46">
        <f t="shared" si="27"/>
        <v>200</v>
      </c>
      <c r="BQ28" s="46">
        <f t="shared" si="28"/>
        <v>800</v>
      </c>
      <c r="BR28" s="18">
        <f t="shared" si="0"/>
        <v>1000</v>
      </c>
      <c r="BS28" s="18">
        <f t="shared" si="29"/>
        <v>2200</v>
      </c>
      <c r="BT28" s="18">
        <f t="shared" si="1"/>
        <v>3400</v>
      </c>
      <c r="BU28" s="18">
        <f t="shared" si="30"/>
        <v>2400</v>
      </c>
      <c r="BV28" s="18">
        <f t="shared" si="31"/>
        <v>183.33333333333334</v>
      </c>
      <c r="BW28" s="28">
        <f t="shared" si="2"/>
        <v>0</v>
      </c>
      <c r="BY28" s="2">
        <v>10000</v>
      </c>
      <c r="BZ28" s="42">
        <f t="shared" si="32"/>
        <v>4.5454545454545459</v>
      </c>
      <c r="CA28" s="43">
        <v>1</v>
      </c>
      <c r="CB28" s="43">
        <v>1</v>
      </c>
      <c r="CC28" s="43">
        <v>1</v>
      </c>
      <c r="CD28" s="44">
        <f t="shared" si="33"/>
        <v>3</v>
      </c>
      <c r="CE28" s="44">
        <f t="shared" si="34"/>
        <v>13.09090909090909</v>
      </c>
      <c r="CG28" s="45">
        <f t="shared" si="35"/>
        <v>0</v>
      </c>
      <c r="CH28" s="43">
        <v>1</v>
      </c>
      <c r="CI28" s="43">
        <v>1</v>
      </c>
    </row>
    <row r="29" spans="1:87" ht="19" x14ac:dyDescent="0.2">
      <c r="A29" s="4">
        <v>26</v>
      </c>
      <c r="B29" s="5">
        <v>92000986</v>
      </c>
      <c r="C29" s="5" t="s">
        <v>32</v>
      </c>
      <c r="D29" s="7" t="s">
        <v>22</v>
      </c>
      <c r="E29" s="32">
        <v>1458</v>
      </c>
      <c r="F29" s="29">
        <v>45</v>
      </c>
      <c r="G29" s="27"/>
      <c r="H29" s="27"/>
      <c r="I29" s="27">
        <v>9</v>
      </c>
      <c r="J29" s="27">
        <f t="shared" si="3"/>
        <v>36</v>
      </c>
      <c r="K29" s="27">
        <f t="shared" si="36"/>
        <v>36</v>
      </c>
      <c r="L29" s="27"/>
      <c r="M29" s="27"/>
      <c r="N29" s="27">
        <v>10</v>
      </c>
      <c r="O29" s="26">
        <f t="shared" si="4"/>
        <v>26</v>
      </c>
      <c r="P29" s="26">
        <f t="shared" si="5"/>
        <v>26</v>
      </c>
      <c r="Q29" s="27"/>
      <c r="R29" s="27"/>
      <c r="S29" s="27">
        <v>2</v>
      </c>
      <c r="T29" s="27">
        <f t="shared" si="6"/>
        <v>24</v>
      </c>
      <c r="U29" s="27">
        <f t="shared" si="7"/>
        <v>24</v>
      </c>
      <c r="V29" s="27"/>
      <c r="W29" s="27"/>
      <c r="X29" s="27">
        <v>20</v>
      </c>
      <c r="Y29" s="27">
        <f t="shared" si="8"/>
        <v>4</v>
      </c>
      <c r="Z29" s="27">
        <f t="shared" si="9"/>
        <v>4</v>
      </c>
      <c r="AA29" s="27">
        <v>100</v>
      </c>
      <c r="AB29" s="27"/>
      <c r="AC29" s="27">
        <v>4</v>
      </c>
      <c r="AD29" s="27">
        <f t="shared" si="10"/>
        <v>100</v>
      </c>
      <c r="AE29" s="27">
        <f t="shared" si="11"/>
        <v>100</v>
      </c>
      <c r="AF29" s="27"/>
      <c r="AG29" s="27"/>
      <c r="AH29" s="27">
        <v>0</v>
      </c>
      <c r="AI29" s="27">
        <f t="shared" si="12"/>
        <v>100</v>
      </c>
      <c r="AJ29" s="27">
        <f t="shared" si="13"/>
        <v>100</v>
      </c>
      <c r="AK29" s="27"/>
      <c r="AL29" s="27"/>
      <c r="AM29" s="27">
        <v>0</v>
      </c>
      <c r="AN29" s="27">
        <f t="shared" si="14"/>
        <v>100</v>
      </c>
      <c r="AO29" s="27">
        <f t="shared" si="15"/>
        <v>100</v>
      </c>
      <c r="AP29" s="27"/>
      <c r="AQ29" s="27"/>
      <c r="AR29" s="27">
        <v>12</v>
      </c>
      <c r="AS29" s="27">
        <f t="shared" si="16"/>
        <v>88</v>
      </c>
      <c r="AT29" s="27">
        <f t="shared" si="17"/>
        <v>88</v>
      </c>
      <c r="AU29" s="27"/>
      <c r="AV29" s="27"/>
      <c r="AW29" s="27">
        <v>19</v>
      </c>
      <c r="AX29" s="27">
        <f t="shared" si="18"/>
        <v>69</v>
      </c>
      <c r="AY29" s="27">
        <f t="shared" si="19"/>
        <v>69</v>
      </c>
      <c r="AZ29" s="27"/>
      <c r="BA29" s="27"/>
      <c r="BB29" s="27">
        <v>29</v>
      </c>
      <c r="BC29" s="27">
        <f t="shared" si="20"/>
        <v>40</v>
      </c>
      <c r="BD29" s="27">
        <f t="shared" si="21"/>
        <v>40</v>
      </c>
      <c r="BE29" s="27"/>
      <c r="BF29" s="27"/>
      <c r="BG29" s="27">
        <v>19</v>
      </c>
      <c r="BH29" s="27">
        <f t="shared" si="22"/>
        <v>21</v>
      </c>
      <c r="BI29" s="27">
        <f t="shared" si="23"/>
        <v>21</v>
      </c>
      <c r="BJ29" s="27"/>
      <c r="BK29" s="27"/>
      <c r="BL29" s="27">
        <v>7</v>
      </c>
      <c r="BM29" s="27">
        <f t="shared" si="24"/>
        <v>14</v>
      </c>
      <c r="BN29" s="18">
        <f t="shared" si="25"/>
        <v>653</v>
      </c>
      <c r="BO29" s="46">
        <f t="shared" si="26"/>
        <v>45</v>
      </c>
      <c r="BP29" s="46">
        <f t="shared" si="27"/>
        <v>14</v>
      </c>
      <c r="BQ29" s="46">
        <f t="shared" si="28"/>
        <v>29.5</v>
      </c>
      <c r="BR29" s="18">
        <f t="shared" si="0"/>
        <v>100</v>
      </c>
      <c r="BS29" s="18">
        <f t="shared" si="29"/>
        <v>131</v>
      </c>
      <c r="BT29" s="18">
        <f t="shared" si="1"/>
        <v>622</v>
      </c>
      <c r="BU29" s="18">
        <f t="shared" si="30"/>
        <v>145</v>
      </c>
      <c r="BV29" s="18">
        <f t="shared" si="31"/>
        <v>10.916666666666666</v>
      </c>
      <c r="BW29" s="28">
        <f t="shared" si="2"/>
        <v>0</v>
      </c>
      <c r="BY29" s="2">
        <v>500</v>
      </c>
      <c r="BZ29" s="42">
        <f t="shared" si="32"/>
        <v>3.8167938931297711</v>
      </c>
      <c r="CA29" s="43">
        <v>1</v>
      </c>
      <c r="CB29" s="43">
        <v>1</v>
      </c>
      <c r="CC29" s="43">
        <v>1</v>
      </c>
      <c r="CD29" s="44">
        <f t="shared" si="33"/>
        <v>4.9152542372881358</v>
      </c>
      <c r="CE29" s="44">
        <f t="shared" si="34"/>
        <v>13.282442748091604</v>
      </c>
      <c r="CG29" s="45">
        <f t="shared" si="35"/>
        <v>0</v>
      </c>
      <c r="CH29" s="43">
        <v>1</v>
      </c>
      <c r="CI29" s="43">
        <v>1</v>
      </c>
    </row>
    <row r="30" spans="1:87" ht="19" x14ac:dyDescent="0.2">
      <c r="A30" s="4">
        <v>27</v>
      </c>
      <c r="B30" s="5">
        <v>92000209</v>
      </c>
      <c r="C30" s="5" t="s">
        <v>33</v>
      </c>
      <c r="D30" s="7" t="s">
        <v>6</v>
      </c>
      <c r="E30" s="33">
        <v>102.92</v>
      </c>
      <c r="F30" s="29">
        <v>19000</v>
      </c>
      <c r="G30" s="27"/>
      <c r="H30" s="27"/>
      <c r="I30" s="27">
        <v>1500</v>
      </c>
      <c r="J30" s="27">
        <f t="shared" si="3"/>
        <v>17500</v>
      </c>
      <c r="K30" s="27">
        <f t="shared" si="36"/>
        <v>17500</v>
      </c>
      <c r="L30" s="27"/>
      <c r="M30" s="27"/>
      <c r="N30" s="27">
        <v>500</v>
      </c>
      <c r="O30" s="26">
        <f t="shared" si="4"/>
        <v>17000</v>
      </c>
      <c r="P30" s="26">
        <f t="shared" si="5"/>
        <v>17000</v>
      </c>
      <c r="Q30" s="27"/>
      <c r="R30" s="27"/>
      <c r="S30" s="27">
        <v>500</v>
      </c>
      <c r="T30" s="27">
        <f t="shared" si="6"/>
        <v>16500</v>
      </c>
      <c r="U30" s="27">
        <f t="shared" si="7"/>
        <v>16500</v>
      </c>
      <c r="V30" s="27"/>
      <c r="W30" s="27"/>
      <c r="X30" s="27">
        <v>1500</v>
      </c>
      <c r="Y30" s="27">
        <f t="shared" si="8"/>
        <v>15000</v>
      </c>
      <c r="Z30" s="27">
        <f t="shared" si="9"/>
        <v>15000</v>
      </c>
      <c r="AA30" s="27"/>
      <c r="AB30" s="27"/>
      <c r="AC30" s="27">
        <v>1000</v>
      </c>
      <c r="AD30" s="27">
        <f t="shared" si="10"/>
        <v>14000</v>
      </c>
      <c r="AE30" s="27">
        <f t="shared" si="11"/>
        <v>14000</v>
      </c>
      <c r="AF30" s="27">
        <v>12000</v>
      </c>
      <c r="AG30" s="27"/>
      <c r="AH30" s="27">
        <v>1000</v>
      </c>
      <c r="AI30" s="27">
        <f t="shared" si="12"/>
        <v>25000</v>
      </c>
      <c r="AJ30" s="27">
        <f t="shared" si="13"/>
        <v>25000</v>
      </c>
      <c r="AK30" s="27"/>
      <c r="AL30" s="27"/>
      <c r="AM30" s="27">
        <v>500</v>
      </c>
      <c r="AN30" s="27">
        <f t="shared" si="14"/>
        <v>24500</v>
      </c>
      <c r="AO30" s="27">
        <f t="shared" si="15"/>
        <v>24500</v>
      </c>
      <c r="AP30" s="27"/>
      <c r="AQ30" s="27"/>
      <c r="AR30" s="27">
        <v>500</v>
      </c>
      <c r="AS30" s="27">
        <f t="shared" si="16"/>
        <v>24000</v>
      </c>
      <c r="AT30" s="27">
        <f t="shared" si="17"/>
        <v>24000</v>
      </c>
      <c r="AU30" s="27"/>
      <c r="AV30" s="27"/>
      <c r="AW30" s="27">
        <v>0</v>
      </c>
      <c r="AX30" s="27">
        <f t="shared" si="18"/>
        <v>24000</v>
      </c>
      <c r="AY30" s="27">
        <f t="shared" si="19"/>
        <v>24000</v>
      </c>
      <c r="AZ30" s="27">
        <v>10000</v>
      </c>
      <c r="BA30" s="27">
        <v>23000</v>
      </c>
      <c r="BB30" s="27">
        <v>1200</v>
      </c>
      <c r="BC30" s="27">
        <f t="shared" si="20"/>
        <v>9800</v>
      </c>
      <c r="BD30" s="27">
        <f t="shared" si="21"/>
        <v>9800</v>
      </c>
      <c r="BE30" s="27"/>
      <c r="BF30" s="27"/>
      <c r="BG30" s="27">
        <v>800</v>
      </c>
      <c r="BH30" s="27">
        <f t="shared" si="22"/>
        <v>9000</v>
      </c>
      <c r="BI30" s="27">
        <f t="shared" si="23"/>
        <v>9000</v>
      </c>
      <c r="BJ30" s="27"/>
      <c r="BK30" s="27"/>
      <c r="BL30" s="27">
        <v>800</v>
      </c>
      <c r="BM30" s="27">
        <f t="shared" si="24"/>
        <v>8200</v>
      </c>
      <c r="BN30" s="18">
        <f t="shared" si="25"/>
        <v>215300</v>
      </c>
      <c r="BO30" s="46">
        <f t="shared" si="26"/>
        <v>19000</v>
      </c>
      <c r="BP30" s="46">
        <f t="shared" si="27"/>
        <v>31200</v>
      </c>
      <c r="BQ30" s="46">
        <f t="shared" si="28"/>
        <v>25100</v>
      </c>
      <c r="BR30" s="18">
        <f t="shared" si="0"/>
        <v>22000</v>
      </c>
      <c r="BS30" s="18">
        <f t="shared" si="29"/>
        <v>9800</v>
      </c>
      <c r="BT30" s="18">
        <f t="shared" si="1"/>
        <v>227500</v>
      </c>
      <c r="BU30" s="18">
        <f t="shared" si="30"/>
        <v>41000</v>
      </c>
      <c r="BV30" s="18">
        <f t="shared" si="31"/>
        <v>816.66666666666663</v>
      </c>
      <c r="BW30" s="28">
        <f t="shared" si="2"/>
        <v>23000</v>
      </c>
      <c r="BY30" s="2">
        <v>10000</v>
      </c>
      <c r="BZ30" s="42">
        <f t="shared" si="32"/>
        <v>1.0204081632653061</v>
      </c>
      <c r="CA30" s="43">
        <v>1</v>
      </c>
      <c r="CB30" s="43">
        <v>1</v>
      </c>
      <c r="CC30" s="43">
        <v>1</v>
      </c>
      <c r="CD30" s="44">
        <f t="shared" si="33"/>
        <v>1.6334661354581674</v>
      </c>
      <c r="CE30" s="44">
        <f>BU30/BV30</f>
        <v>50.204081632653065</v>
      </c>
      <c r="CG30" s="45">
        <f t="shared" si="35"/>
        <v>0.56097560975609762</v>
      </c>
      <c r="CH30" s="43">
        <v>1</v>
      </c>
      <c r="CI30" s="43">
        <v>1</v>
      </c>
    </row>
    <row r="31" spans="1:87" ht="19" x14ac:dyDescent="0.2">
      <c r="A31" s="4">
        <v>28</v>
      </c>
      <c r="B31" s="5"/>
      <c r="C31" s="5" t="s">
        <v>34</v>
      </c>
      <c r="D31" s="7" t="s">
        <v>6</v>
      </c>
      <c r="E31" s="32">
        <v>165</v>
      </c>
      <c r="F31" s="29">
        <v>2000</v>
      </c>
      <c r="G31" s="27"/>
      <c r="H31" s="27"/>
      <c r="I31" s="27">
        <v>0</v>
      </c>
      <c r="J31" s="27">
        <f t="shared" si="3"/>
        <v>2000</v>
      </c>
      <c r="K31" s="27">
        <f t="shared" si="36"/>
        <v>2000</v>
      </c>
      <c r="L31" s="27"/>
      <c r="M31" s="27"/>
      <c r="N31" s="27">
        <v>0</v>
      </c>
      <c r="O31" s="26">
        <f t="shared" si="4"/>
        <v>2000</v>
      </c>
      <c r="P31" s="26">
        <f t="shared" si="5"/>
        <v>2000</v>
      </c>
      <c r="Q31" s="27"/>
      <c r="R31" s="27"/>
      <c r="S31" s="27">
        <v>0</v>
      </c>
      <c r="T31" s="27">
        <f t="shared" si="6"/>
        <v>2000</v>
      </c>
      <c r="U31" s="27">
        <f t="shared" si="7"/>
        <v>2000</v>
      </c>
      <c r="V31" s="27"/>
      <c r="W31" s="27"/>
      <c r="X31" s="27">
        <v>0</v>
      </c>
      <c r="Y31" s="27">
        <f t="shared" si="8"/>
        <v>2000</v>
      </c>
      <c r="Z31" s="27">
        <f t="shared" si="9"/>
        <v>2000</v>
      </c>
      <c r="AA31" s="27"/>
      <c r="AB31" s="27"/>
      <c r="AC31" s="27">
        <v>0</v>
      </c>
      <c r="AD31" s="27">
        <f t="shared" si="10"/>
        <v>2000</v>
      </c>
      <c r="AE31" s="27">
        <f t="shared" si="11"/>
        <v>2000</v>
      </c>
      <c r="AF31" s="27"/>
      <c r="AG31" s="27"/>
      <c r="AH31" s="27">
        <v>0</v>
      </c>
      <c r="AI31" s="27">
        <f t="shared" si="12"/>
        <v>2000</v>
      </c>
      <c r="AJ31" s="27">
        <f t="shared" si="13"/>
        <v>2000</v>
      </c>
      <c r="AK31" s="27"/>
      <c r="AL31" s="27"/>
      <c r="AM31" s="27">
        <v>0</v>
      </c>
      <c r="AN31" s="27">
        <f t="shared" si="14"/>
        <v>2000</v>
      </c>
      <c r="AO31" s="27">
        <f t="shared" si="15"/>
        <v>2000</v>
      </c>
      <c r="AP31" s="27"/>
      <c r="AQ31" s="27"/>
      <c r="AR31" s="27">
        <v>200</v>
      </c>
      <c r="AS31" s="27">
        <f t="shared" si="16"/>
        <v>1800</v>
      </c>
      <c r="AT31" s="27">
        <f t="shared" si="17"/>
        <v>1800</v>
      </c>
      <c r="AU31" s="27"/>
      <c r="AV31" s="27"/>
      <c r="AW31" s="27">
        <v>100</v>
      </c>
      <c r="AX31" s="27">
        <f t="shared" si="18"/>
        <v>1700</v>
      </c>
      <c r="AY31" s="27">
        <f t="shared" si="19"/>
        <v>1700</v>
      </c>
      <c r="AZ31" s="27"/>
      <c r="BA31" s="27"/>
      <c r="BB31" s="27">
        <v>0</v>
      </c>
      <c r="BC31" s="27">
        <f t="shared" si="20"/>
        <v>1700</v>
      </c>
      <c r="BD31" s="27">
        <f t="shared" si="21"/>
        <v>1700</v>
      </c>
      <c r="BE31" s="27"/>
      <c r="BF31" s="27"/>
      <c r="BG31" s="27">
        <v>400</v>
      </c>
      <c r="BH31" s="27">
        <f t="shared" si="22"/>
        <v>1300</v>
      </c>
      <c r="BI31" s="27">
        <f t="shared" si="23"/>
        <v>1300</v>
      </c>
      <c r="BJ31" s="27"/>
      <c r="BK31" s="27"/>
      <c r="BL31" s="27">
        <v>700</v>
      </c>
      <c r="BM31" s="27">
        <f t="shared" si="24"/>
        <v>600</v>
      </c>
      <c r="BN31" s="18">
        <f t="shared" si="25"/>
        <v>22500</v>
      </c>
      <c r="BO31" s="46">
        <f t="shared" si="26"/>
        <v>2000</v>
      </c>
      <c r="BP31" s="46">
        <f t="shared" si="27"/>
        <v>600</v>
      </c>
      <c r="BQ31" s="46">
        <f t="shared" si="28"/>
        <v>1300</v>
      </c>
      <c r="BR31" s="18">
        <f t="shared" si="0"/>
        <v>0</v>
      </c>
      <c r="BS31" s="18">
        <f t="shared" si="29"/>
        <v>1400</v>
      </c>
      <c r="BT31" s="18">
        <f t="shared" si="1"/>
        <v>21100</v>
      </c>
      <c r="BU31" s="18">
        <f t="shared" si="30"/>
        <v>2000</v>
      </c>
      <c r="BV31" s="18">
        <f t="shared" si="31"/>
        <v>116.66666666666667</v>
      </c>
      <c r="BW31" s="28">
        <f t="shared" si="2"/>
        <v>0</v>
      </c>
      <c r="BY31" s="2">
        <v>20000</v>
      </c>
      <c r="BZ31" s="42">
        <f t="shared" si="32"/>
        <v>14.285714285714286</v>
      </c>
      <c r="CA31" s="43">
        <v>1</v>
      </c>
      <c r="CB31" s="43">
        <v>1</v>
      </c>
      <c r="CC31" s="43">
        <v>1</v>
      </c>
      <c r="CD31" s="44">
        <f t="shared" si="33"/>
        <v>1.5384615384615385</v>
      </c>
      <c r="CE31" s="44">
        <f t="shared" si="34"/>
        <v>17.142857142857142</v>
      </c>
      <c r="CG31" s="45">
        <f t="shared" si="35"/>
        <v>0</v>
      </c>
      <c r="CH31" s="43">
        <v>1</v>
      </c>
      <c r="CI31" s="43">
        <v>1</v>
      </c>
    </row>
    <row r="32" spans="1:87" ht="19" x14ac:dyDescent="0.2">
      <c r="A32" s="4">
        <v>29</v>
      </c>
      <c r="B32" s="5">
        <v>92000756</v>
      </c>
      <c r="C32" s="4" t="s">
        <v>35</v>
      </c>
      <c r="D32" s="6" t="s">
        <v>22</v>
      </c>
      <c r="E32" s="34">
        <v>1622.62</v>
      </c>
      <c r="F32" s="29">
        <v>232</v>
      </c>
      <c r="G32" s="27"/>
      <c r="H32" s="27"/>
      <c r="I32" s="27"/>
      <c r="J32" s="27">
        <f t="shared" si="3"/>
        <v>232</v>
      </c>
      <c r="K32" s="27">
        <f t="shared" si="36"/>
        <v>232</v>
      </c>
      <c r="L32" s="27"/>
      <c r="M32" s="27"/>
      <c r="N32" s="27">
        <v>15</v>
      </c>
      <c r="O32" s="26">
        <f t="shared" si="4"/>
        <v>217</v>
      </c>
      <c r="P32" s="26">
        <f t="shared" si="5"/>
        <v>217</v>
      </c>
      <c r="Q32" s="27"/>
      <c r="R32" s="27"/>
      <c r="S32" s="27">
        <v>25</v>
      </c>
      <c r="T32" s="27">
        <f t="shared" si="6"/>
        <v>192</v>
      </c>
      <c r="U32" s="27">
        <f t="shared" si="7"/>
        <v>192</v>
      </c>
      <c r="V32" s="27"/>
      <c r="W32" s="27"/>
      <c r="X32" s="27">
        <v>10</v>
      </c>
      <c r="Y32" s="27">
        <f t="shared" si="8"/>
        <v>182</v>
      </c>
      <c r="Z32" s="27">
        <f t="shared" si="9"/>
        <v>182</v>
      </c>
      <c r="AA32" s="27"/>
      <c r="AB32" s="27"/>
      <c r="AC32" s="27">
        <v>20</v>
      </c>
      <c r="AD32" s="27">
        <f t="shared" si="10"/>
        <v>162</v>
      </c>
      <c r="AE32" s="27">
        <f t="shared" si="11"/>
        <v>162</v>
      </c>
      <c r="AF32" s="27">
        <v>100</v>
      </c>
      <c r="AG32" s="27"/>
      <c r="AH32" s="27">
        <v>20</v>
      </c>
      <c r="AI32" s="27">
        <f t="shared" si="12"/>
        <v>242</v>
      </c>
      <c r="AJ32" s="27">
        <f t="shared" si="13"/>
        <v>242</v>
      </c>
      <c r="AK32" s="27"/>
      <c r="AL32" s="27"/>
      <c r="AM32" s="27">
        <v>23</v>
      </c>
      <c r="AN32" s="27">
        <f t="shared" si="14"/>
        <v>219</v>
      </c>
      <c r="AO32" s="27">
        <f t="shared" si="15"/>
        <v>219</v>
      </c>
      <c r="AP32" s="27"/>
      <c r="AQ32" s="27"/>
      <c r="AR32" s="27">
        <v>77</v>
      </c>
      <c r="AS32" s="27">
        <f t="shared" si="16"/>
        <v>142</v>
      </c>
      <c r="AT32" s="27">
        <f t="shared" si="17"/>
        <v>142</v>
      </c>
      <c r="AU32" s="27"/>
      <c r="AV32" s="27"/>
      <c r="AW32" s="27">
        <v>0</v>
      </c>
      <c r="AX32" s="27">
        <f t="shared" si="18"/>
        <v>142</v>
      </c>
      <c r="AY32" s="27">
        <f t="shared" si="19"/>
        <v>142</v>
      </c>
      <c r="AZ32" s="27"/>
      <c r="BA32" s="27"/>
      <c r="BB32" s="27">
        <v>61</v>
      </c>
      <c r="BC32" s="27">
        <f t="shared" si="20"/>
        <v>81</v>
      </c>
      <c r="BD32" s="27">
        <f t="shared" si="21"/>
        <v>81</v>
      </c>
      <c r="BE32" s="27"/>
      <c r="BF32" s="27"/>
      <c r="BG32" s="27">
        <v>0</v>
      </c>
      <c r="BH32" s="27">
        <f t="shared" si="22"/>
        <v>81</v>
      </c>
      <c r="BI32" s="27">
        <f t="shared" si="23"/>
        <v>81</v>
      </c>
      <c r="BJ32" s="27"/>
      <c r="BK32" s="27"/>
      <c r="BL32" s="27">
        <v>43</v>
      </c>
      <c r="BM32" s="27">
        <f t="shared" si="24"/>
        <v>38</v>
      </c>
      <c r="BN32" s="18">
        <f t="shared" si="25"/>
        <v>2124</v>
      </c>
      <c r="BO32" s="46">
        <f t="shared" si="26"/>
        <v>232</v>
      </c>
      <c r="BP32" s="46">
        <f t="shared" si="27"/>
        <v>38</v>
      </c>
      <c r="BQ32" s="46">
        <f t="shared" si="28"/>
        <v>135</v>
      </c>
      <c r="BR32" s="18">
        <f t="shared" si="0"/>
        <v>100</v>
      </c>
      <c r="BS32" s="18">
        <f t="shared" si="29"/>
        <v>294</v>
      </c>
      <c r="BT32" s="18">
        <f t="shared" si="1"/>
        <v>1930</v>
      </c>
      <c r="BU32" s="18">
        <f t="shared" si="30"/>
        <v>332</v>
      </c>
      <c r="BV32" s="18">
        <f t="shared" si="31"/>
        <v>24.5</v>
      </c>
      <c r="BW32" s="28">
        <f t="shared" si="2"/>
        <v>0</v>
      </c>
      <c r="BY32" s="2">
        <v>1000</v>
      </c>
      <c r="BZ32" s="42">
        <f t="shared" si="32"/>
        <v>3.4013605442176869</v>
      </c>
      <c r="CA32" s="43">
        <v>1</v>
      </c>
      <c r="CB32" s="43">
        <v>1</v>
      </c>
      <c r="CC32" s="43">
        <v>1</v>
      </c>
      <c r="CD32" s="44">
        <f t="shared" si="33"/>
        <v>2.4592592592592593</v>
      </c>
      <c r="CE32" s="44">
        <f t="shared" si="34"/>
        <v>13.551020408163266</v>
      </c>
      <c r="CG32" s="45">
        <f t="shared" si="35"/>
        <v>0</v>
      </c>
      <c r="CH32" s="43">
        <v>1</v>
      </c>
      <c r="CI32" s="43">
        <v>1</v>
      </c>
    </row>
    <row r="33" spans="1:87" ht="19" x14ac:dyDescent="0.2">
      <c r="A33" s="4">
        <v>30</v>
      </c>
      <c r="B33" s="5">
        <v>92001960</v>
      </c>
      <c r="C33" s="4" t="s">
        <v>36</v>
      </c>
      <c r="D33" s="6" t="s">
        <v>37</v>
      </c>
      <c r="E33" s="33">
        <v>150.36000000000001</v>
      </c>
      <c r="F33" s="29">
        <v>12840</v>
      </c>
      <c r="G33" s="27"/>
      <c r="H33" s="27"/>
      <c r="I33" s="27">
        <v>900</v>
      </c>
      <c r="J33" s="27">
        <f t="shared" si="3"/>
        <v>11940</v>
      </c>
      <c r="K33" s="27">
        <f t="shared" si="36"/>
        <v>11940</v>
      </c>
      <c r="L33" s="27"/>
      <c r="M33" s="27"/>
      <c r="N33" s="27">
        <v>1080</v>
      </c>
      <c r="O33" s="26">
        <f t="shared" si="4"/>
        <v>10860</v>
      </c>
      <c r="P33" s="26">
        <f t="shared" si="5"/>
        <v>10860</v>
      </c>
      <c r="Q33" s="27"/>
      <c r="R33" s="27"/>
      <c r="S33" s="27">
        <v>1440</v>
      </c>
      <c r="T33" s="27">
        <f t="shared" si="6"/>
        <v>9420</v>
      </c>
      <c r="U33" s="27">
        <f t="shared" si="7"/>
        <v>9420</v>
      </c>
      <c r="V33" s="27"/>
      <c r="W33" s="27"/>
      <c r="X33" s="27">
        <v>1170</v>
      </c>
      <c r="Y33" s="27">
        <f t="shared" si="8"/>
        <v>8250</v>
      </c>
      <c r="Z33" s="27">
        <f t="shared" si="9"/>
        <v>8250</v>
      </c>
      <c r="AA33" s="27"/>
      <c r="AB33" s="27"/>
      <c r="AC33" s="27">
        <v>2100</v>
      </c>
      <c r="AD33" s="27">
        <f t="shared" si="10"/>
        <v>6150</v>
      </c>
      <c r="AE33" s="27">
        <f t="shared" si="11"/>
        <v>6150</v>
      </c>
      <c r="AF33" s="27">
        <v>9700</v>
      </c>
      <c r="AG33" s="27"/>
      <c r="AH33" s="27">
        <v>1170</v>
      </c>
      <c r="AI33" s="27">
        <f t="shared" si="12"/>
        <v>14680</v>
      </c>
      <c r="AJ33" s="27">
        <f t="shared" si="13"/>
        <v>14680</v>
      </c>
      <c r="AK33" s="27"/>
      <c r="AL33" s="27"/>
      <c r="AM33" s="27">
        <v>450</v>
      </c>
      <c r="AN33" s="27">
        <f t="shared" si="14"/>
        <v>14230</v>
      </c>
      <c r="AO33" s="27">
        <f t="shared" si="15"/>
        <v>14230</v>
      </c>
      <c r="AP33" s="27"/>
      <c r="AQ33" s="27"/>
      <c r="AR33" s="27">
        <v>1320</v>
      </c>
      <c r="AS33" s="27">
        <f t="shared" si="16"/>
        <v>12910</v>
      </c>
      <c r="AT33" s="27">
        <f t="shared" si="17"/>
        <v>12910</v>
      </c>
      <c r="AU33" s="27"/>
      <c r="AV33" s="27">
        <v>6400</v>
      </c>
      <c r="AW33" s="27">
        <v>1110</v>
      </c>
      <c r="AX33" s="27">
        <f t="shared" si="18"/>
        <v>5400</v>
      </c>
      <c r="AY33" s="27">
        <f t="shared" si="19"/>
        <v>5400</v>
      </c>
      <c r="AZ33" s="27">
        <v>5000</v>
      </c>
      <c r="BA33" s="27"/>
      <c r="BB33" s="27">
        <v>2300</v>
      </c>
      <c r="BC33" s="27">
        <f t="shared" si="20"/>
        <v>8100</v>
      </c>
      <c r="BD33" s="27">
        <f t="shared" si="21"/>
        <v>8100</v>
      </c>
      <c r="BE33" s="27"/>
      <c r="BF33" s="27"/>
      <c r="BG33" s="27">
        <v>1300</v>
      </c>
      <c r="BH33" s="27">
        <f t="shared" si="22"/>
        <v>6800</v>
      </c>
      <c r="BI33" s="27">
        <f t="shared" si="23"/>
        <v>6800</v>
      </c>
      <c r="BJ33" s="27"/>
      <c r="BK33" s="27"/>
      <c r="BL33" s="27">
        <v>800</v>
      </c>
      <c r="BM33" s="27">
        <f t="shared" si="24"/>
        <v>6000</v>
      </c>
      <c r="BN33" s="18">
        <f t="shared" si="25"/>
        <v>121580</v>
      </c>
      <c r="BO33" s="46">
        <f t="shared" si="26"/>
        <v>12840</v>
      </c>
      <c r="BP33" s="46">
        <f t="shared" si="27"/>
        <v>12400</v>
      </c>
      <c r="BQ33" s="46">
        <f t="shared" si="28"/>
        <v>12620</v>
      </c>
      <c r="BR33" s="18">
        <f t="shared" si="0"/>
        <v>14700</v>
      </c>
      <c r="BS33" s="18">
        <f t="shared" si="29"/>
        <v>15140</v>
      </c>
      <c r="BT33" s="18">
        <f t="shared" si="1"/>
        <v>121140</v>
      </c>
      <c r="BU33" s="18">
        <f t="shared" si="30"/>
        <v>27540</v>
      </c>
      <c r="BV33" s="18">
        <f t="shared" si="31"/>
        <v>1261.6666666666667</v>
      </c>
      <c r="BW33" s="28">
        <f t="shared" si="2"/>
        <v>6400</v>
      </c>
      <c r="BY33" s="2">
        <v>15000</v>
      </c>
      <c r="BZ33" s="42">
        <f t="shared" si="32"/>
        <v>0.99075297225891679</v>
      </c>
      <c r="CA33" s="43">
        <v>1</v>
      </c>
      <c r="CB33" s="43">
        <v>1</v>
      </c>
      <c r="CC33" s="43">
        <v>1</v>
      </c>
      <c r="CD33" s="44">
        <f t="shared" si="33"/>
        <v>2.1822503961965136</v>
      </c>
      <c r="CE33" s="44">
        <f t="shared" si="34"/>
        <v>21.828269484808452</v>
      </c>
      <c r="CG33" s="45">
        <f t="shared" si="35"/>
        <v>0.23238925199709515</v>
      </c>
      <c r="CH33" s="43">
        <v>1</v>
      </c>
      <c r="CI33" s="43">
        <v>1</v>
      </c>
    </row>
    <row r="34" spans="1:87" ht="19" x14ac:dyDescent="0.2">
      <c r="A34" s="4">
        <v>31</v>
      </c>
      <c r="B34" s="5">
        <v>92001267</v>
      </c>
      <c r="C34" s="4" t="s">
        <v>38</v>
      </c>
      <c r="D34" s="6" t="s">
        <v>6</v>
      </c>
      <c r="E34" s="33">
        <v>225.33</v>
      </c>
      <c r="F34" s="29">
        <v>24500</v>
      </c>
      <c r="G34" s="27"/>
      <c r="H34" s="27"/>
      <c r="I34" s="27">
        <v>4100</v>
      </c>
      <c r="J34" s="27">
        <f t="shared" si="3"/>
        <v>20400</v>
      </c>
      <c r="K34" s="27">
        <f t="shared" si="36"/>
        <v>20400</v>
      </c>
      <c r="L34" s="27"/>
      <c r="M34" s="27"/>
      <c r="N34" s="27">
        <v>5000</v>
      </c>
      <c r="O34" s="26">
        <f t="shared" si="4"/>
        <v>15400</v>
      </c>
      <c r="P34" s="26">
        <f t="shared" si="5"/>
        <v>15400</v>
      </c>
      <c r="Q34" s="27">
        <v>11000</v>
      </c>
      <c r="R34" s="27"/>
      <c r="S34" s="27">
        <v>5600</v>
      </c>
      <c r="T34" s="27">
        <f t="shared" si="6"/>
        <v>20800</v>
      </c>
      <c r="U34" s="27">
        <f t="shared" si="7"/>
        <v>20800</v>
      </c>
      <c r="V34" s="27"/>
      <c r="W34" s="27"/>
      <c r="X34" s="27">
        <v>0</v>
      </c>
      <c r="Y34" s="27">
        <f t="shared" si="8"/>
        <v>20800</v>
      </c>
      <c r="Z34" s="27">
        <f t="shared" si="9"/>
        <v>20800</v>
      </c>
      <c r="AA34" s="27"/>
      <c r="AB34" s="27"/>
      <c r="AC34" s="27">
        <v>8300</v>
      </c>
      <c r="AD34" s="27">
        <f t="shared" si="10"/>
        <v>12500</v>
      </c>
      <c r="AE34" s="27">
        <f t="shared" si="11"/>
        <v>12500</v>
      </c>
      <c r="AF34" s="27">
        <v>20000</v>
      </c>
      <c r="AG34" s="27"/>
      <c r="AH34" s="27">
        <v>5300</v>
      </c>
      <c r="AI34" s="27">
        <f t="shared" si="12"/>
        <v>27200</v>
      </c>
      <c r="AJ34" s="27">
        <f t="shared" si="13"/>
        <v>27200</v>
      </c>
      <c r="AK34" s="27"/>
      <c r="AL34" s="27"/>
      <c r="AM34" s="27">
        <v>3600</v>
      </c>
      <c r="AN34" s="27">
        <f t="shared" si="14"/>
        <v>23600</v>
      </c>
      <c r="AO34" s="27">
        <f t="shared" si="15"/>
        <v>23600</v>
      </c>
      <c r="AP34" s="27"/>
      <c r="AQ34" s="27"/>
      <c r="AR34" s="27">
        <v>4200</v>
      </c>
      <c r="AS34" s="27">
        <f t="shared" si="16"/>
        <v>19400</v>
      </c>
      <c r="AT34" s="27">
        <f t="shared" si="17"/>
        <v>19400</v>
      </c>
      <c r="AU34" s="27"/>
      <c r="AV34" s="27"/>
      <c r="AW34" s="27">
        <v>3400</v>
      </c>
      <c r="AX34" s="27">
        <f t="shared" si="18"/>
        <v>16000</v>
      </c>
      <c r="AY34" s="27">
        <f t="shared" si="19"/>
        <v>16000</v>
      </c>
      <c r="AZ34" s="27"/>
      <c r="BA34" s="27"/>
      <c r="BB34" s="27">
        <v>4300</v>
      </c>
      <c r="BC34" s="27">
        <f t="shared" si="20"/>
        <v>11700</v>
      </c>
      <c r="BD34" s="27">
        <f t="shared" si="21"/>
        <v>11700</v>
      </c>
      <c r="BE34" s="27"/>
      <c r="BF34" s="27"/>
      <c r="BG34" s="27">
        <v>3400</v>
      </c>
      <c r="BH34" s="27">
        <f t="shared" si="22"/>
        <v>8300</v>
      </c>
      <c r="BI34" s="27">
        <f t="shared" si="23"/>
        <v>8300</v>
      </c>
      <c r="BJ34" s="27">
        <v>10000</v>
      </c>
      <c r="BK34" s="27"/>
      <c r="BL34" s="27">
        <v>4300</v>
      </c>
      <c r="BM34" s="27">
        <f t="shared" si="24"/>
        <v>14000</v>
      </c>
      <c r="BN34" s="18">
        <f t="shared" si="25"/>
        <v>220600</v>
      </c>
      <c r="BO34" s="46">
        <f t="shared" si="26"/>
        <v>24500</v>
      </c>
      <c r="BP34" s="46">
        <f t="shared" si="27"/>
        <v>14000</v>
      </c>
      <c r="BQ34" s="46">
        <f t="shared" si="28"/>
        <v>19250</v>
      </c>
      <c r="BR34" s="18">
        <f t="shared" si="0"/>
        <v>41000</v>
      </c>
      <c r="BS34" s="18">
        <f t="shared" si="29"/>
        <v>51500</v>
      </c>
      <c r="BT34" s="18">
        <f t="shared" si="1"/>
        <v>210100</v>
      </c>
      <c r="BU34" s="18">
        <f t="shared" si="30"/>
        <v>65500</v>
      </c>
      <c r="BV34" s="18">
        <f t="shared" si="31"/>
        <v>4291.666666666667</v>
      </c>
      <c r="BW34" s="28">
        <f t="shared" si="2"/>
        <v>0</v>
      </c>
      <c r="BY34" s="2">
        <v>75870</v>
      </c>
      <c r="BZ34" s="42">
        <f t="shared" si="32"/>
        <v>1.4732038834951455</v>
      </c>
      <c r="CA34" s="43">
        <v>1</v>
      </c>
      <c r="CB34" s="43">
        <v>1</v>
      </c>
      <c r="CC34" s="43">
        <v>1</v>
      </c>
      <c r="CD34" s="44">
        <f t="shared" si="33"/>
        <v>3.4025974025974026</v>
      </c>
      <c r="CE34" s="44">
        <f t="shared" si="34"/>
        <v>15.262135922330096</v>
      </c>
      <c r="CG34" s="45">
        <f t="shared" si="35"/>
        <v>0</v>
      </c>
      <c r="CH34" s="43">
        <v>1</v>
      </c>
      <c r="CI34" s="43">
        <v>1</v>
      </c>
    </row>
    <row r="35" spans="1:87" ht="19" x14ac:dyDescent="0.2">
      <c r="A35" s="4">
        <v>32</v>
      </c>
      <c r="B35" s="5">
        <v>92001885</v>
      </c>
      <c r="C35" s="5" t="s">
        <v>39</v>
      </c>
      <c r="D35" s="7" t="s">
        <v>6</v>
      </c>
      <c r="E35" s="32">
        <v>100</v>
      </c>
      <c r="F35" s="29">
        <v>4900</v>
      </c>
      <c r="G35" s="27"/>
      <c r="H35" s="27"/>
      <c r="I35" s="27">
        <v>100</v>
      </c>
      <c r="J35" s="27">
        <f t="shared" si="3"/>
        <v>4800</v>
      </c>
      <c r="K35" s="27">
        <f t="shared" si="36"/>
        <v>4800</v>
      </c>
      <c r="L35" s="27"/>
      <c r="M35" s="27"/>
      <c r="N35" s="27">
        <v>300</v>
      </c>
      <c r="O35" s="26">
        <f t="shared" si="4"/>
        <v>4500</v>
      </c>
      <c r="P35" s="26">
        <f t="shared" si="5"/>
        <v>4500</v>
      </c>
      <c r="Q35" s="27"/>
      <c r="R35" s="27"/>
      <c r="S35" s="27">
        <v>700</v>
      </c>
      <c r="T35" s="27">
        <f t="shared" si="6"/>
        <v>3800</v>
      </c>
      <c r="U35" s="27">
        <f t="shared" si="7"/>
        <v>3800</v>
      </c>
      <c r="V35" s="27"/>
      <c r="W35" s="27"/>
      <c r="X35" s="27">
        <v>500</v>
      </c>
      <c r="Y35" s="27">
        <f t="shared" si="8"/>
        <v>3300</v>
      </c>
      <c r="Z35" s="27">
        <f t="shared" si="9"/>
        <v>3300</v>
      </c>
      <c r="AA35" s="27"/>
      <c r="AB35" s="27"/>
      <c r="AC35" s="27">
        <v>0</v>
      </c>
      <c r="AD35" s="27">
        <f t="shared" si="10"/>
        <v>3300</v>
      </c>
      <c r="AE35" s="27">
        <f t="shared" si="11"/>
        <v>3300</v>
      </c>
      <c r="AF35" s="27"/>
      <c r="AG35" s="27"/>
      <c r="AH35" s="27">
        <v>200</v>
      </c>
      <c r="AI35" s="27">
        <f t="shared" si="12"/>
        <v>3100</v>
      </c>
      <c r="AJ35" s="27">
        <f t="shared" si="13"/>
        <v>3100</v>
      </c>
      <c r="AK35" s="27"/>
      <c r="AL35" s="27"/>
      <c r="AM35" s="27">
        <v>800</v>
      </c>
      <c r="AN35" s="27">
        <f t="shared" si="14"/>
        <v>2300</v>
      </c>
      <c r="AO35" s="27">
        <f t="shared" si="15"/>
        <v>2300</v>
      </c>
      <c r="AP35" s="27"/>
      <c r="AQ35" s="27"/>
      <c r="AR35" s="27">
        <v>400</v>
      </c>
      <c r="AS35" s="27">
        <f t="shared" si="16"/>
        <v>1900</v>
      </c>
      <c r="AT35" s="27">
        <f t="shared" si="17"/>
        <v>1900</v>
      </c>
      <c r="AU35" s="27"/>
      <c r="AV35" s="27"/>
      <c r="AW35" s="27">
        <v>600</v>
      </c>
      <c r="AX35" s="27">
        <f t="shared" si="18"/>
        <v>1300</v>
      </c>
      <c r="AY35" s="27">
        <f t="shared" si="19"/>
        <v>1300</v>
      </c>
      <c r="AZ35" s="27"/>
      <c r="BA35" s="27"/>
      <c r="BB35" s="27">
        <v>400</v>
      </c>
      <c r="BC35" s="27">
        <f t="shared" si="20"/>
        <v>900</v>
      </c>
      <c r="BD35" s="27">
        <f t="shared" si="21"/>
        <v>900</v>
      </c>
      <c r="BE35" s="27"/>
      <c r="BF35" s="27"/>
      <c r="BG35" s="27">
        <v>0</v>
      </c>
      <c r="BH35" s="27">
        <f t="shared" si="22"/>
        <v>900</v>
      </c>
      <c r="BI35" s="27">
        <f t="shared" si="23"/>
        <v>900</v>
      </c>
      <c r="BJ35" s="27"/>
      <c r="BK35" s="27"/>
      <c r="BL35" s="27">
        <v>700</v>
      </c>
      <c r="BM35" s="27">
        <f t="shared" si="24"/>
        <v>200</v>
      </c>
      <c r="BN35" s="18">
        <f t="shared" si="25"/>
        <v>35000</v>
      </c>
      <c r="BO35" s="46">
        <f t="shared" si="26"/>
        <v>4900</v>
      </c>
      <c r="BP35" s="46">
        <f t="shared" si="27"/>
        <v>200</v>
      </c>
      <c r="BQ35" s="46">
        <f t="shared" si="28"/>
        <v>2550</v>
      </c>
      <c r="BR35" s="18">
        <f t="shared" si="0"/>
        <v>0</v>
      </c>
      <c r="BS35" s="18">
        <f t="shared" si="29"/>
        <v>4700</v>
      </c>
      <c r="BT35" s="18">
        <f t="shared" si="1"/>
        <v>30300</v>
      </c>
      <c r="BU35" s="18">
        <f t="shared" si="30"/>
        <v>4900</v>
      </c>
      <c r="BV35" s="18">
        <f t="shared" si="31"/>
        <v>391.66666666666669</v>
      </c>
      <c r="BW35" s="28">
        <f t="shared" si="2"/>
        <v>0</v>
      </c>
      <c r="BY35" s="2">
        <v>15000</v>
      </c>
      <c r="BZ35" s="42">
        <f t="shared" si="32"/>
        <v>3.1914893617021276</v>
      </c>
      <c r="CA35" s="43">
        <v>1</v>
      </c>
      <c r="CB35" s="43">
        <v>1</v>
      </c>
      <c r="CC35" s="43">
        <v>1</v>
      </c>
      <c r="CD35" s="44">
        <f t="shared" si="33"/>
        <v>1.9215686274509804</v>
      </c>
      <c r="CE35" s="44">
        <f t="shared" si="34"/>
        <v>12.51063829787234</v>
      </c>
      <c r="CG35" s="45">
        <f t="shared" si="35"/>
        <v>0</v>
      </c>
      <c r="CH35" s="43">
        <v>1</v>
      </c>
      <c r="CI35" s="43">
        <v>1</v>
      </c>
    </row>
    <row r="36" spans="1:87" ht="19" x14ac:dyDescent="0.2">
      <c r="A36" s="4">
        <v>33</v>
      </c>
      <c r="B36" s="5">
        <v>92000347</v>
      </c>
      <c r="C36" s="4" t="s">
        <v>40</v>
      </c>
      <c r="D36" s="6" t="s">
        <v>6</v>
      </c>
      <c r="E36" s="33">
        <v>242</v>
      </c>
      <c r="F36" s="29">
        <v>15</v>
      </c>
      <c r="G36" s="27"/>
      <c r="H36" s="27"/>
      <c r="I36" s="27">
        <v>0</v>
      </c>
      <c r="J36" s="27">
        <f t="shared" si="3"/>
        <v>15</v>
      </c>
      <c r="K36" s="27">
        <f t="shared" si="36"/>
        <v>15</v>
      </c>
      <c r="L36" s="27"/>
      <c r="M36" s="27"/>
      <c r="N36" s="27">
        <v>0</v>
      </c>
      <c r="O36" s="26">
        <f t="shared" si="4"/>
        <v>15</v>
      </c>
      <c r="P36" s="26">
        <f t="shared" si="5"/>
        <v>15</v>
      </c>
      <c r="Q36" s="27"/>
      <c r="R36" s="27"/>
      <c r="S36" s="27">
        <v>0</v>
      </c>
      <c r="T36" s="27">
        <f t="shared" si="6"/>
        <v>15</v>
      </c>
      <c r="U36" s="27">
        <f t="shared" si="7"/>
        <v>15</v>
      </c>
      <c r="V36" s="27">
        <v>20</v>
      </c>
      <c r="W36" s="27">
        <v>15</v>
      </c>
      <c r="X36" s="27">
        <v>0</v>
      </c>
      <c r="Y36" s="27">
        <f t="shared" si="8"/>
        <v>20</v>
      </c>
      <c r="Z36" s="27">
        <f t="shared" si="9"/>
        <v>20</v>
      </c>
      <c r="AA36" s="27"/>
      <c r="AB36" s="27"/>
      <c r="AC36" s="27">
        <v>0</v>
      </c>
      <c r="AD36" s="27">
        <f t="shared" si="10"/>
        <v>20</v>
      </c>
      <c r="AE36" s="27">
        <f t="shared" si="11"/>
        <v>20</v>
      </c>
      <c r="AF36" s="27"/>
      <c r="AG36" s="27"/>
      <c r="AH36" s="27">
        <v>0</v>
      </c>
      <c r="AI36" s="27">
        <f t="shared" si="12"/>
        <v>20</v>
      </c>
      <c r="AJ36" s="27">
        <f t="shared" si="13"/>
        <v>20</v>
      </c>
      <c r="AK36" s="27"/>
      <c r="AL36" s="27"/>
      <c r="AM36" s="27">
        <v>0</v>
      </c>
      <c r="AN36" s="27">
        <f t="shared" si="14"/>
        <v>20</v>
      </c>
      <c r="AO36" s="27">
        <f t="shared" si="15"/>
        <v>20</v>
      </c>
      <c r="AP36" s="27"/>
      <c r="AQ36" s="27"/>
      <c r="AR36" s="27">
        <v>0</v>
      </c>
      <c r="AS36" s="27">
        <f t="shared" si="16"/>
        <v>20</v>
      </c>
      <c r="AT36" s="27">
        <f t="shared" si="17"/>
        <v>20</v>
      </c>
      <c r="AU36" s="27"/>
      <c r="AV36" s="27"/>
      <c r="AW36" s="27">
        <v>0</v>
      </c>
      <c r="AX36" s="27">
        <f t="shared" si="18"/>
        <v>20</v>
      </c>
      <c r="AY36" s="27">
        <f t="shared" si="19"/>
        <v>20</v>
      </c>
      <c r="AZ36" s="27"/>
      <c r="BA36" s="27"/>
      <c r="BB36" s="27">
        <v>0</v>
      </c>
      <c r="BC36" s="27">
        <f t="shared" si="20"/>
        <v>20</v>
      </c>
      <c r="BD36" s="27">
        <f t="shared" si="21"/>
        <v>20</v>
      </c>
      <c r="BE36" s="27"/>
      <c r="BF36" s="27"/>
      <c r="BG36" s="27">
        <v>0</v>
      </c>
      <c r="BH36" s="27">
        <f t="shared" si="22"/>
        <v>20</v>
      </c>
      <c r="BI36" s="27">
        <f t="shared" si="23"/>
        <v>20</v>
      </c>
      <c r="BJ36" s="27"/>
      <c r="BK36" s="27"/>
      <c r="BL36" s="27">
        <v>0</v>
      </c>
      <c r="BM36" s="27">
        <f t="shared" si="24"/>
        <v>20</v>
      </c>
      <c r="BN36" s="18">
        <f t="shared" si="25"/>
        <v>220</v>
      </c>
      <c r="BO36" s="46">
        <f t="shared" si="26"/>
        <v>15</v>
      </c>
      <c r="BP36" s="46">
        <f t="shared" si="27"/>
        <v>35</v>
      </c>
      <c r="BQ36" s="46">
        <f t="shared" si="28"/>
        <v>25</v>
      </c>
      <c r="BR36" s="18">
        <f t="shared" si="0"/>
        <v>20</v>
      </c>
      <c r="BS36" s="18">
        <f t="shared" si="29"/>
        <v>0</v>
      </c>
      <c r="BT36" s="18">
        <f t="shared" si="1"/>
        <v>240</v>
      </c>
      <c r="BU36" s="18">
        <f t="shared" si="30"/>
        <v>35</v>
      </c>
      <c r="BV36" s="18">
        <f t="shared" si="31"/>
        <v>0</v>
      </c>
      <c r="BW36" s="28">
        <f t="shared" si="2"/>
        <v>15</v>
      </c>
      <c r="BY36" s="2">
        <v>0</v>
      </c>
      <c r="BZ36" s="42" t="e">
        <f t="shared" si="32"/>
        <v>#DIV/0!</v>
      </c>
      <c r="CA36" s="43">
        <v>1</v>
      </c>
      <c r="CB36" s="43">
        <v>1</v>
      </c>
      <c r="CC36" s="43">
        <v>1</v>
      </c>
      <c r="CD36" s="44">
        <f t="shared" si="33"/>
        <v>1.4</v>
      </c>
      <c r="CE36" s="44" t="e">
        <f t="shared" si="34"/>
        <v>#DIV/0!</v>
      </c>
      <c r="CG36" s="45">
        <f t="shared" si="35"/>
        <v>0.42857142857142855</v>
      </c>
      <c r="CH36" s="43">
        <v>1</v>
      </c>
      <c r="CI36" s="43">
        <v>1</v>
      </c>
    </row>
    <row r="37" spans="1:87" ht="19" x14ac:dyDescent="0.2">
      <c r="A37" s="4">
        <v>34</v>
      </c>
      <c r="B37" s="5">
        <v>92003720</v>
      </c>
      <c r="C37" s="5" t="s">
        <v>41</v>
      </c>
      <c r="D37" s="7" t="s">
        <v>6</v>
      </c>
      <c r="E37" s="33">
        <v>227.06</v>
      </c>
      <c r="F37" s="29">
        <v>16200</v>
      </c>
      <c r="G37" s="27"/>
      <c r="H37" s="27">
        <v>16200</v>
      </c>
      <c r="I37" s="27">
        <v>0</v>
      </c>
      <c r="J37" s="27">
        <f t="shared" si="3"/>
        <v>0</v>
      </c>
      <c r="K37" s="27">
        <f t="shared" si="36"/>
        <v>0</v>
      </c>
      <c r="L37" s="27"/>
      <c r="M37" s="27"/>
      <c r="N37" s="27">
        <v>0</v>
      </c>
      <c r="O37" s="26">
        <f t="shared" si="4"/>
        <v>0</v>
      </c>
      <c r="P37" s="26">
        <f t="shared" si="5"/>
        <v>0</v>
      </c>
      <c r="Q37" s="27">
        <v>1000</v>
      </c>
      <c r="R37" s="27"/>
      <c r="S37" s="27">
        <v>1000</v>
      </c>
      <c r="T37" s="27">
        <f t="shared" si="6"/>
        <v>0</v>
      </c>
      <c r="U37" s="27">
        <f t="shared" si="7"/>
        <v>0</v>
      </c>
      <c r="V37" s="27"/>
      <c r="W37" s="27"/>
      <c r="X37" s="27">
        <v>0</v>
      </c>
      <c r="Y37" s="27">
        <f t="shared" si="8"/>
        <v>0</v>
      </c>
      <c r="Z37" s="27">
        <f t="shared" si="9"/>
        <v>0</v>
      </c>
      <c r="AA37" s="27"/>
      <c r="AB37" s="27"/>
      <c r="AC37" s="27">
        <v>0</v>
      </c>
      <c r="AD37" s="27">
        <f t="shared" si="10"/>
        <v>0</v>
      </c>
      <c r="AE37" s="27">
        <f t="shared" si="11"/>
        <v>0</v>
      </c>
      <c r="AF37" s="27">
        <v>10000</v>
      </c>
      <c r="AG37" s="27"/>
      <c r="AH37" s="27">
        <v>200</v>
      </c>
      <c r="AI37" s="27">
        <f t="shared" si="12"/>
        <v>9800</v>
      </c>
      <c r="AJ37" s="27">
        <f t="shared" si="13"/>
        <v>9800</v>
      </c>
      <c r="AK37" s="27"/>
      <c r="AL37" s="27"/>
      <c r="AM37" s="27">
        <v>1000</v>
      </c>
      <c r="AN37" s="27">
        <f t="shared" si="14"/>
        <v>8800</v>
      </c>
      <c r="AO37" s="27">
        <f t="shared" si="15"/>
        <v>8800</v>
      </c>
      <c r="AP37" s="27"/>
      <c r="AQ37" s="27"/>
      <c r="AR37" s="27">
        <v>1300</v>
      </c>
      <c r="AS37" s="27">
        <f t="shared" si="16"/>
        <v>7500</v>
      </c>
      <c r="AT37" s="27">
        <f t="shared" si="17"/>
        <v>7500</v>
      </c>
      <c r="AU37" s="27"/>
      <c r="AV37" s="27"/>
      <c r="AW37" s="27">
        <v>1300</v>
      </c>
      <c r="AX37" s="27">
        <f t="shared" si="18"/>
        <v>6200</v>
      </c>
      <c r="AY37" s="27">
        <f t="shared" si="19"/>
        <v>6200</v>
      </c>
      <c r="AZ37" s="27"/>
      <c r="BA37" s="27"/>
      <c r="BB37" s="27">
        <v>2200</v>
      </c>
      <c r="BC37" s="27">
        <f t="shared" si="20"/>
        <v>4000</v>
      </c>
      <c r="BD37" s="27">
        <f t="shared" si="21"/>
        <v>4000</v>
      </c>
      <c r="BE37" s="27"/>
      <c r="BF37" s="27"/>
      <c r="BG37" s="27">
        <v>1800</v>
      </c>
      <c r="BH37" s="27">
        <f t="shared" si="22"/>
        <v>2200</v>
      </c>
      <c r="BI37" s="27">
        <f t="shared" si="23"/>
        <v>2200</v>
      </c>
      <c r="BJ37" s="27">
        <v>6000</v>
      </c>
      <c r="BK37" s="27"/>
      <c r="BL37" s="27">
        <v>1400</v>
      </c>
      <c r="BM37" s="27">
        <f t="shared" si="24"/>
        <v>6800</v>
      </c>
      <c r="BN37" s="18">
        <f t="shared" si="25"/>
        <v>54700</v>
      </c>
      <c r="BO37" s="46">
        <f t="shared" si="26"/>
        <v>16200</v>
      </c>
      <c r="BP37" s="46">
        <f t="shared" si="27"/>
        <v>23000</v>
      </c>
      <c r="BQ37" s="46">
        <f t="shared" si="28"/>
        <v>19600</v>
      </c>
      <c r="BR37" s="18">
        <f t="shared" si="0"/>
        <v>17000</v>
      </c>
      <c r="BS37" s="18">
        <f t="shared" si="29"/>
        <v>10200</v>
      </c>
      <c r="BT37" s="18">
        <f t="shared" si="1"/>
        <v>61500</v>
      </c>
      <c r="BU37" s="18">
        <f t="shared" si="30"/>
        <v>33200</v>
      </c>
      <c r="BV37" s="18">
        <f t="shared" si="31"/>
        <v>850</v>
      </c>
      <c r="BW37" s="28">
        <f t="shared" si="2"/>
        <v>16200</v>
      </c>
      <c r="BY37" s="2">
        <v>15000</v>
      </c>
      <c r="BZ37" s="42">
        <f t="shared" si="32"/>
        <v>1.4705882352941178</v>
      </c>
      <c r="CA37" s="43">
        <v>1</v>
      </c>
      <c r="CB37" s="43">
        <v>1</v>
      </c>
      <c r="CC37" s="43">
        <v>1</v>
      </c>
      <c r="CD37" s="44">
        <f t="shared" si="33"/>
        <v>1.6938775510204083</v>
      </c>
      <c r="CE37" s="44">
        <f t="shared" si="34"/>
        <v>39.058823529411768</v>
      </c>
      <c r="CG37" s="45">
        <f t="shared" si="35"/>
        <v>0.48795180722891568</v>
      </c>
      <c r="CH37" s="43">
        <v>1</v>
      </c>
      <c r="CI37" s="43">
        <v>1</v>
      </c>
    </row>
    <row r="38" spans="1:87" ht="19" x14ac:dyDescent="0.2">
      <c r="A38" s="4">
        <v>35</v>
      </c>
      <c r="B38" s="5">
        <v>92000809</v>
      </c>
      <c r="C38" s="5" t="s">
        <v>64</v>
      </c>
      <c r="D38" s="7" t="s">
        <v>37</v>
      </c>
      <c r="E38" s="32">
        <v>624</v>
      </c>
      <c r="F38" s="29">
        <v>11</v>
      </c>
      <c r="G38" s="27">
        <v>250</v>
      </c>
      <c r="H38" s="27"/>
      <c r="I38" s="27"/>
      <c r="J38" s="27">
        <f t="shared" si="3"/>
        <v>261</v>
      </c>
      <c r="K38" s="27">
        <f t="shared" si="36"/>
        <v>261</v>
      </c>
      <c r="L38" s="27"/>
      <c r="M38" s="27"/>
      <c r="N38" s="27">
        <v>250</v>
      </c>
      <c r="O38" s="26">
        <f t="shared" si="4"/>
        <v>11</v>
      </c>
      <c r="P38" s="26">
        <f t="shared" si="5"/>
        <v>11</v>
      </c>
      <c r="Q38" s="27"/>
      <c r="R38" s="27"/>
      <c r="S38" s="27">
        <v>0</v>
      </c>
      <c r="T38" s="27">
        <f t="shared" si="6"/>
        <v>11</v>
      </c>
      <c r="U38" s="27">
        <f t="shared" si="7"/>
        <v>11</v>
      </c>
      <c r="V38" s="27"/>
      <c r="W38" s="27"/>
      <c r="X38" s="27">
        <v>0</v>
      </c>
      <c r="Y38" s="27">
        <f t="shared" si="8"/>
        <v>11</v>
      </c>
      <c r="Z38" s="27">
        <f t="shared" si="9"/>
        <v>11</v>
      </c>
      <c r="AA38" s="27"/>
      <c r="AB38" s="27"/>
      <c r="AC38" s="27">
        <v>0</v>
      </c>
      <c r="AD38" s="27">
        <f t="shared" si="10"/>
        <v>11</v>
      </c>
      <c r="AE38" s="27">
        <f t="shared" si="11"/>
        <v>11</v>
      </c>
      <c r="AF38" s="27"/>
      <c r="AG38" s="27"/>
      <c r="AH38" s="27">
        <v>0</v>
      </c>
      <c r="AI38" s="27">
        <f t="shared" si="12"/>
        <v>11</v>
      </c>
      <c r="AJ38" s="27">
        <f t="shared" si="13"/>
        <v>11</v>
      </c>
      <c r="AK38" s="27">
        <v>300</v>
      </c>
      <c r="AL38" s="27"/>
      <c r="AM38" s="27">
        <v>0</v>
      </c>
      <c r="AN38" s="27">
        <f t="shared" si="14"/>
        <v>311</v>
      </c>
      <c r="AO38" s="27">
        <f t="shared" si="15"/>
        <v>311</v>
      </c>
      <c r="AP38" s="27"/>
      <c r="AQ38" s="27"/>
      <c r="AR38" s="27">
        <v>269</v>
      </c>
      <c r="AS38" s="27">
        <f t="shared" si="16"/>
        <v>42</v>
      </c>
      <c r="AT38" s="27">
        <f t="shared" si="17"/>
        <v>42</v>
      </c>
      <c r="AU38" s="27"/>
      <c r="AV38" s="27"/>
      <c r="AW38" s="27">
        <v>0</v>
      </c>
      <c r="AX38" s="27">
        <f t="shared" si="18"/>
        <v>42</v>
      </c>
      <c r="AY38" s="27">
        <f t="shared" si="19"/>
        <v>42</v>
      </c>
      <c r="AZ38" s="27"/>
      <c r="BA38" s="27"/>
      <c r="BB38" s="27">
        <v>24</v>
      </c>
      <c r="BC38" s="27">
        <f t="shared" si="20"/>
        <v>18</v>
      </c>
      <c r="BD38" s="27">
        <f t="shared" si="21"/>
        <v>18</v>
      </c>
      <c r="BE38" s="27"/>
      <c r="BF38" s="27"/>
      <c r="BG38" s="27">
        <v>0</v>
      </c>
      <c r="BH38" s="27">
        <f t="shared" si="22"/>
        <v>18</v>
      </c>
      <c r="BI38" s="27">
        <f t="shared" si="23"/>
        <v>18</v>
      </c>
      <c r="BJ38" s="27"/>
      <c r="BK38" s="27"/>
      <c r="BL38" s="27">
        <v>0</v>
      </c>
      <c r="BM38" s="27">
        <f t="shared" si="24"/>
        <v>18</v>
      </c>
      <c r="BN38" s="18">
        <f t="shared" si="25"/>
        <v>758</v>
      </c>
      <c r="BO38" s="46">
        <f t="shared" si="26"/>
        <v>11</v>
      </c>
      <c r="BP38" s="46">
        <f t="shared" si="27"/>
        <v>18</v>
      </c>
      <c r="BQ38" s="46">
        <f t="shared" si="28"/>
        <v>14.5</v>
      </c>
      <c r="BR38" s="18">
        <f t="shared" si="0"/>
        <v>550</v>
      </c>
      <c r="BS38" s="18">
        <f t="shared" si="29"/>
        <v>543</v>
      </c>
      <c r="BT38" s="18">
        <f t="shared" si="1"/>
        <v>765</v>
      </c>
      <c r="BU38" s="18">
        <f t="shared" si="30"/>
        <v>561</v>
      </c>
      <c r="BV38" s="18">
        <f t="shared" si="31"/>
        <v>45.25</v>
      </c>
      <c r="BW38" s="28">
        <f t="shared" si="2"/>
        <v>0</v>
      </c>
      <c r="BY38" s="2">
        <v>0</v>
      </c>
      <c r="BZ38" s="42">
        <f t="shared" si="32"/>
        <v>0</v>
      </c>
      <c r="CA38" s="43">
        <v>1</v>
      </c>
      <c r="CB38" s="43">
        <v>1</v>
      </c>
      <c r="CC38" s="43">
        <v>1</v>
      </c>
      <c r="CD38" s="44">
        <f t="shared" si="33"/>
        <v>38.689655172413794</v>
      </c>
      <c r="CE38" s="44">
        <f t="shared" si="34"/>
        <v>12.397790055248619</v>
      </c>
      <c r="CG38" s="45">
        <f t="shared" si="35"/>
        <v>0</v>
      </c>
      <c r="CH38" s="43">
        <v>1</v>
      </c>
      <c r="CI38" s="43">
        <v>1</v>
      </c>
    </row>
    <row r="39" spans="1:87" ht="19" x14ac:dyDescent="0.2">
      <c r="A39" s="4">
        <v>36</v>
      </c>
      <c r="B39" s="5"/>
      <c r="C39" s="5" t="s">
        <v>42</v>
      </c>
      <c r="D39" s="7" t="s">
        <v>37</v>
      </c>
      <c r="E39" s="32">
        <v>552</v>
      </c>
      <c r="F39" s="29">
        <v>99</v>
      </c>
      <c r="G39" s="27">
        <v>2300</v>
      </c>
      <c r="H39" s="27"/>
      <c r="I39" s="27"/>
      <c r="J39" s="27">
        <f t="shared" si="3"/>
        <v>2399</v>
      </c>
      <c r="K39" s="27">
        <f t="shared" si="36"/>
        <v>2399</v>
      </c>
      <c r="L39" s="27"/>
      <c r="M39" s="27"/>
      <c r="N39" s="27">
        <v>2049</v>
      </c>
      <c r="O39" s="26">
        <f t="shared" si="4"/>
        <v>350</v>
      </c>
      <c r="P39" s="26">
        <f t="shared" si="5"/>
        <v>350</v>
      </c>
      <c r="Q39" s="27"/>
      <c r="R39" s="27"/>
      <c r="S39" s="27">
        <v>56</v>
      </c>
      <c r="T39" s="27">
        <f t="shared" si="6"/>
        <v>294</v>
      </c>
      <c r="U39" s="27">
        <f t="shared" si="7"/>
        <v>294</v>
      </c>
      <c r="V39" s="27"/>
      <c r="W39" s="27"/>
      <c r="X39" s="27">
        <v>0</v>
      </c>
      <c r="Y39" s="27">
        <f t="shared" si="8"/>
        <v>294</v>
      </c>
      <c r="Z39" s="27">
        <f t="shared" si="9"/>
        <v>294</v>
      </c>
      <c r="AA39" s="27"/>
      <c r="AB39" s="27"/>
      <c r="AC39" s="27">
        <v>100</v>
      </c>
      <c r="AD39" s="27">
        <f t="shared" si="10"/>
        <v>194</v>
      </c>
      <c r="AE39" s="27">
        <f t="shared" si="11"/>
        <v>194</v>
      </c>
      <c r="AF39" s="27"/>
      <c r="AG39" s="27"/>
      <c r="AH39" s="27">
        <v>0</v>
      </c>
      <c r="AI39" s="27">
        <f t="shared" si="12"/>
        <v>194</v>
      </c>
      <c r="AJ39" s="27">
        <f t="shared" si="13"/>
        <v>194</v>
      </c>
      <c r="AK39" s="27">
        <v>2500</v>
      </c>
      <c r="AL39" s="27"/>
      <c r="AM39" s="27">
        <v>0</v>
      </c>
      <c r="AN39" s="27">
        <f t="shared" si="14"/>
        <v>2694</v>
      </c>
      <c r="AO39" s="27">
        <f t="shared" si="15"/>
        <v>2694</v>
      </c>
      <c r="AP39" s="27"/>
      <c r="AQ39" s="27"/>
      <c r="AR39" s="27">
        <v>1756</v>
      </c>
      <c r="AS39" s="27">
        <f t="shared" si="16"/>
        <v>938</v>
      </c>
      <c r="AT39" s="27">
        <f t="shared" si="17"/>
        <v>938</v>
      </c>
      <c r="AU39" s="27"/>
      <c r="AV39" s="27"/>
      <c r="AW39" s="27">
        <v>50</v>
      </c>
      <c r="AX39" s="27">
        <f t="shared" si="18"/>
        <v>888</v>
      </c>
      <c r="AY39" s="27">
        <f t="shared" si="19"/>
        <v>888</v>
      </c>
      <c r="AZ39" s="27"/>
      <c r="BA39" s="27"/>
      <c r="BB39" s="27">
        <v>338</v>
      </c>
      <c r="BC39" s="27">
        <f t="shared" si="20"/>
        <v>550</v>
      </c>
      <c r="BD39" s="27">
        <f t="shared" si="21"/>
        <v>550</v>
      </c>
      <c r="BE39" s="27"/>
      <c r="BF39" s="27"/>
      <c r="BG39" s="27">
        <v>0</v>
      </c>
      <c r="BH39" s="27">
        <f t="shared" si="22"/>
        <v>550</v>
      </c>
      <c r="BI39" s="27">
        <f t="shared" si="23"/>
        <v>550</v>
      </c>
      <c r="BJ39" s="27"/>
      <c r="BK39" s="27"/>
      <c r="BL39" s="27">
        <v>0</v>
      </c>
      <c r="BM39" s="27">
        <f t="shared" si="24"/>
        <v>550</v>
      </c>
      <c r="BN39" s="18">
        <f t="shared" si="25"/>
        <v>9444</v>
      </c>
      <c r="BO39" s="46">
        <f t="shared" si="26"/>
        <v>99</v>
      </c>
      <c r="BP39" s="46">
        <f t="shared" si="27"/>
        <v>550</v>
      </c>
      <c r="BQ39" s="46">
        <f t="shared" si="28"/>
        <v>324.5</v>
      </c>
      <c r="BR39" s="18">
        <f t="shared" si="0"/>
        <v>4800</v>
      </c>
      <c r="BS39" s="18">
        <f t="shared" si="29"/>
        <v>4349</v>
      </c>
      <c r="BT39" s="18">
        <f t="shared" si="1"/>
        <v>9895</v>
      </c>
      <c r="BU39" s="18">
        <f t="shared" si="30"/>
        <v>4899</v>
      </c>
      <c r="BV39" s="18">
        <f t="shared" si="31"/>
        <v>362.41666666666669</v>
      </c>
      <c r="BW39" s="28">
        <f t="shared" si="2"/>
        <v>0</v>
      </c>
      <c r="BY39" s="2">
        <v>0</v>
      </c>
      <c r="BZ39" s="42">
        <f t="shared" si="32"/>
        <v>0</v>
      </c>
      <c r="CA39" s="43">
        <v>1</v>
      </c>
      <c r="CB39" s="43">
        <v>1</v>
      </c>
      <c r="CC39" s="43">
        <v>1</v>
      </c>
      <c r="CD39" s="44">
        <f t="shared" si="33"/>
        <v>15.097072419106317</v>
      </c>
      <c r="CE39" s="44">
        <f t="shared" si="34"/>
        <v>13.517590250632329</v>
      </c>
      <c r="CG39" s="45">
        <f t="shared" si="35"/>
        <v>0</v>
      </c>
      <c r="CH39" s="43">
        <v>1</v>
      </c>
      <c r="CI39" s="43">
        <v>1</v>
      </c>
    </row>
    <row r="40" spans="1:87" ht="19" x14ac:dyDescent="0.2">
      <c r="A40" s="4">
        <v>37</v>
      </c>
      <c r="B40" s="5">
        <v>92000860</v>
      </c>
      <c r="C40" s="4" t="s">
        <v>43</v>
      </c>
      <c r="D40" s="6" t="s">
        <v>6</v>
      </c>
      <c r="E40" s="32">
        <v>55</v>
      </c>
      <c r="F40" s="29">
        <v>300</v>
      </c>
      <c r="G40" s="27"/>
      <c r="H40" s="27"/>
      <c r="I40" s="27">
        <v>300</v>
      </c>
      <c r="J40" s="27">
        <f t="shared" si="3"/>
        <v>0</v>
      </c>
      <c r="K40" s="27">
        <f t="shared" si="36"/>
        <v>0</v>
      </c>
      <c r="L40" s="27"/>
      <c r="M40" s="27"/>
      <c r="N40" s="27">
        <v>0</v>
      </c>
      <c r="O40" s="26">
        <f t="shared" si="4"/>
        <v>0</v>
      </c>
      <c r="P40" s="26">
        <f t="shared" si="5"/>
        <v>0</v>
      </c>
      <c r="Q40" s="27">
        <v>2000</v>
      </c>
      <c r="R40" s="27"/>
      <c r="S40" s="27">
        <v>0</v>
      </c>
      <c r="T40" s="27">
        <f t="shared" si="6"/>
        <v>2000</v>
      </c>
      <c r="U40" s="27">
        <f t="shared" si="7"/>
        <v>2000</v>
      </c>
      <c r="V40" s="27"/>
      <c r="W40" s="27"/>
      <c r="X40" s="27">
        <v>300</v>
      </c>
      <c r="Y40" s="27">
        <f t="shared" si="8"/>
        <v>1700</v>
      </c>
      <c r="Z40" s="27">
        <f t="shared" si="9"/>
        <v>1700</v>
      </c>
      <c r="AA40" s="27"/>
      <c r="AB40" s="27"/>
      <c r="AC40" s="27">
        <v>600</v>
      </c>
      <c r="AD40" s="27">
        <f t="shared" si="10"/>
        <v>1100</v>
      </c>
      <c r="AE40" s="27">
        <f t="shared" si="11"/>
        <v>1100</v>
      </c>
      <c r="AF40" s="27"/>
      <c r="AG40" s="27"/>
      <c r="AH40" s="27">
        <v>200</v>
      </c>
      <c r="AI40" s="27">
        <f t="shared" si="12"/>
        <v>900</v>
      </c>
      <c r="AJ40" s="27">
        <f t="shared" si="13"/>
        <v>900</v>
      </c>
      <c r="AK40" s="27"/>
      <c r="AL40" s="27"/>
      <c r="AM40" s="27">
        <v>200</v>
      </c>
      <c r="AN40" s="27">
        <f t="shared" si="14"/>
        <v>700</v>
      </c>
      <c r="AO40" s="27">
        <f t="shared" si="15"/>
        <v>700</v>
      </c>
      <c r="AP40" s="27"/>
      <c r="AQ40" s="27"/>
      <c r="AR40" s="27">
        <v>100</v>
      </c>
      <c r="AS40" s="27">
        <f t="shared" si="16"/>
        <v>600</v>
      </c>
      <c r="AT40" s="27">
        <f t="shared" si="17"/>
        <v>600</v>
      </c>
      <c r="AU40" s="27"/>
      <c r="AV40" s="27"/>
      <c r="AW40" s="27">
        <v>100</v>
      </c>
      <c r="AX40" s="27">
        <f t="shared" si="18"/>
        <v>500</v>
      </c>
      <c r="AY40" s="27">
        <f t="shared" si="19"/>
        <v>500</v>
      </c>
      <c r="AZ40" s="27"/>
      <c r="BA40" s="27"/>
      <c r="BB40" s="27">
        <v>300</v>
      </c>
      <c r="BC40" s="27">
        <f t="shared" si="20"/>
        <v>200</v>
      </c>
      <c r="BD40" s="27">
        <f t="shared" si="21"/>
        <v>200</v>
      </c>
      <c r="BE40" s="27"/>
      <c r="BF40" s="27"/>
      <c r="BG40" s="27">
        <v>200</v>
      </c>
      <c r="BH40" s="27">
        <f t="shared" si="22"/>
        <v>0</v>
      </c>
      <c r="BI40" s="27">
        <f t="shared" si="23"/>
        <v>0</v>
      </c>
      <c r="BJ40" s="27"/>
      <c r="BK40" s="27"/>
      <c r="BL40" s="27">
        <v>0</v>
      </c>
      <c r="BM40" s="27">
        <f t="shared" si="24"/>
        <v>0</v>
      </c>
      <c r="BN40" s="18">
        <f t="shared" si="25"/>
        <v>8000</v>
      </c>
      <c r="BO40" s="46">
        <f t="shared" si="26"/>
        <v>300</v>
      </c>
      <c r="BP40" s="46">
        <f t="shared" si="27"/>
        <v>0</v>
      </c>
      <c r="BQ40" s="46">
        <f t="shared" si="28"/>
        <v>150</v>
      </c>
      <c r="BR40" s="18">
        <f t="shared" si="0"/>
        <v>2000</v>
      </c>
      <c r="BS40" s="18">
        <f t="shared" si="29"/>
        <v>2300</v>
      </c>
      <c r="BT40" s="18">
        <f t="shared" si="1"/>
        <v>7700</v>
      </c>
      <c r="BU40" s="18">
        <f t="shared" si="30"/>
        <v>2300</v>
      </c>
      <c r="BV40" s="18">
        <f t="shared" si="31"/>
        <v>191.66666666666666</v>
      </c>
      <c r="BW40" s="28">
        <f t="shared" si="2"/>
        <v>0</v>
      </c>
      <c r="BY40" s="2">
        <v>15000</v>
      </c>
      <c r="BZ40" s="42">
        <f t="shared" si="32"/>
        <v>6.5217391304347823</v>
      </c>
      <c r="CA40" s="43">
        <v>1</v>
      </c>
      <c r="CB40" s="43">
        <v>1</v>
      </c>
      <c r="CC40" s="43">
        <v>1</v>
      </c>
      <c r="CD40" s="44">
        <f t="shared" si="33"/>
        <v>15.333333333333334</v>
      </c>
      <c r="CE40" s="44">
        <f t="shared" si="34"/>
        <v>12</v>
      </c>
      <c r="CG40" s="45">
        <f t="shared" si="35"/>
        <v>0</v>
      </c>
      <c r="CH40" s="43">
        <v>1</v>
      </c>
      <c r="CI40" s="43">
        <v>1</v>
      </c>
    </row>
    <row r="41" spans="1:87" ht="19" x14ac:dyDescent="0.2">
      <c r="A41" s="4">
        <v>38</v>
      </c>
      <c r="B41" s="5"/>
      <c r="C41" s="4" t="s">
        <v>67</v>
      </c>
      <c r="D41" s="6" t="s">
        <v>65</v>
      </c>
      <c r="E41" s="35">
        <v>7557</v>
      </c>
      <c r="F41" s="36">
        <v>24</v>
      </c>
      <c r="G41" s="27"/>
      <c r="H41" s="27"/>
      <c r="I41" s="27"/>
      <c r="J41" s="27">
        <f t="shared" si="3"/>
        <v>24</v>
      </c>
      <c r="K41" s="27">
        <f t="shared" si="36"/>
        <v>24</v>
      </c>
      <c r="L41" s="27"/>
      <c r="M41" s="27"/>
      <c r="N41" s="27">
        <v>0</v>
      </c>
      <c r="O41" s="26">
        <f t="shared" si="4"/>
        <v>24</v>
      </c>
      <c r="P41" s="26">
        <f t="shared" si="5"/>
        <v>24</v>
      </c>
      <c r="Q41" s="27"/>
      <c r="R41" s="27"/>
      <c r="S41" s="27">
        <v>0</v>
      </c>
      <c r="T41" s="27">
        <f t="shared" si="6"/>
        <v>24</v>
      </c>
      <c r="U41" s="27">
        <f t="shared" si="7"/>
        <v>24</v>
      </c>
      <c r="V41" s="27"/>
      <c r="W41" s="27"/>
      <c r="X41" s="27">
        <v>0</v>
      </c>
      <c r="Y41" s="27">
        <f t="shared" si="8"/>
        <v>24</v>
      </c>
      <c r="Z41" s="27">
        <f t="shared" si="9"/>
        <v>24</v>
      </c>
      <c r="AA41" s="27"/>
      <c r="AB41" s="27"/>
      <c r="AC41" s="27">
        <v>0</v>
      </c>
      <c r="AD41" s="27">
        <f t="shared" si="10"/>
        <v>24</v>
      </c>
      <c r="AE41" s="27">
        <f t="shared" si="11"/>
        <v>24</v>
      </c>
      <c r="AF41" s="27"/>
      <c r="AG41" s="27"/>
      <c r="AH41" s="27">
        <v>4</v>
      </c>
      <c r="AI41" s="27">
        <f t="shared" si="12"/>
        <v>20</v>
      </c>
      <c r="AJ41" s="27">
        <f t="shared" si="13"/>
        <v>20</v>
      </c>
      <c r="AK41" s="27"/>
      <c r="AL41" s="27"/>
      <c r="AM41" s="27">
        <v>0</v>
      </c>
      <c r="AN41" s="27">
        <f t="shared" si="14"/>
        <v>20</v>
      </c>
      <c r="AO41" s="27">
        <f t="shared" si="15"/>
        <v>20</v>
      </c>
      <c r="AP41" s="27"/>
      <c r="AQ41" s="27"/>
      <c r="AR41" s="27">
        <v>5</v>
      </c>
      <c r="AS41" s="27">
        <f t="shared" si="16"/>
        <v>15</v>
      </c>
      <c r="AT41" s="27">
        <f t="shared" si="17"/>
        <v>15</v>
      </c>
      <c r="AU41" s="27"/>
      <c r="AV41" s="27"/>
      <c r="AW41" s="27">
        <v>3</v>
      </c>
      <c r="AX41" s="27">
        <f t="shared" si="18"/>
        <v>12</v>
      </c>
      <c r="AY41" s="27">
        <f t="shared" si="19"/>
        <v>12</v>
      </c>
      <c r="AZ41" s="27"/>
      <c r="BA41" s="27"/>
      <c r="BB41" s="27">
        <v>6</v>
      </c>
      <c r="BC41" s="27">
        <f t="shared" si="20"/>
        <v>6</v>
      </c>
      <c r="BD41" s="27">
        <f t="shared" si="21"/>
        <v>6</v>
      </c>
      <c r="BE41" s="27"/>
      <c r="BF41" s="27"/>
      <c r="BG41" s="27">
        <v>0</v>
      </c>
      <c r="BH41" s="27">
        <f t="shared" si="22"/>
        <v>6</v>
      </c>
      <c r="BI41" s="27">
        <f t="shared" si="23"/>
        <v>6</v>
      </c>
      <c r="BJ41" s="27"/>
      <c r="BK41" s="27"/>
      <c r="BL41" s="27">
        <v>0</v>
      </c>
      <c r="BM41" s="27">
        <f t="shared" si="24"/>
        <v>6</v>
      </c>
      <c r="BN41" s="18">
        <f t="shared" si="25"/>
        <v>223</v>
      </c>
      <c r="BO41" s="46">
        <f t="shared" si="26"/>
        <v>24</v>
      </c>
      <c r="BP41" s="46">
        <f t="shared" si="27"/>
        <v>6</v>
      </c>
      <c r="BQ41" s="46">
        <f t="shared" si="28"/>
        <v>15</v>
      </c>
      <c r="BR41" s="18">
        <f t="shared" si="0"/>
        <v>0</v>
      </c>
      <c r="BS41" s="18">
        <f t="shared" si="29"/>
        <v>18</v>
      </c>
      <c r="BT41" s="18">
        <f t="shared" si="1"/>
        <v>205</v>
      </c>
      <c r="BU41" s="18">
        <f t="shared" si="30"/>
        <v>24</v>
      </c>
      <c r="BV41" s="18">
        <f t="shared" si="31"/>
        <v>1.5</v>
      </c>
      <c r="BW41" s="28">
        <f t="shared" si="2"/>
        <v>0</v>
      </c>
      <c r="BY41" s="2">
        <v>250</v>
      </c>
      <c r="BZ41" s="42">
        <f t="shared" si="32"/>
        <v>13.888888888888889</v>
      </c>
      <c r="CA41" s="43">
        <v>1</v>
      </c>
      <c r="CB41" s="43">
        <v>1</v>
      </c>
      <c r="CC41" s="43">
        <v>1</v>
      </c>
      <c r="CD41" s="44">
        <f t="shared" si="33"/>
        <v>1.6</v>
      </c>
      <c r="CE41" s="44">
        <f t="shared" si="34"/>
        <v>16</v>
      </c>
      <c r="CG41" s="45">
        <f t="shared" si="35"/>
        <v>0</v>
      </c>
      <c r="CH41" s="43">
        <v>1</v>
      </c>
      <c r="CI41" s="43">
        <v>1</v>
      </c>
    </row>
    <row r="42" spans="1:87" ht="19" x14ac:dyDescent="0.2">
      <c r="A42" s="4">
        <v>39</v>
      </c>
      <c r="B42" s="5">
        <v>92000731</v>
      </c>
      <c r="C42" s="4" t="s">
        <v>66</v>
      </c>
      <c r="D42" s="6" t="s">
        <v>16</v>
      </c>
      <c r="E42" s="37">
        <v>4680</v>
      </c>
      <c r="F42" s="29">
        <v>154</v>
      </c>
      <c r="G42" s="27"/>
      <c r="H42" s="27"/>
      <c r="I42" s="27">
        <v>33</v>
      </c>
      <c r="J42" s="27">
        <f t="shared" si="3"/>
        <v>121</v>
      </c>
      <c r="K42" s="27">
        <f t="shared" si="36"/>
        <v>121</v>
      </c>
      <c r="L42" s="27"/>
      <c r="M42" s="27"/>
      <c r="N42" s="27">
        <v>31</v>
      </c>
      <c r="O42" s="26">
        <f t="shared" si="4"/>
        <v>90</v>
      </c>
      <c r="P42" s="26">
        <f t="shared" si="5"/>
        <v>90</v>
      </c>
      <c r="Q42" s="27"/>
      <c r="R42" s="27"/>
      <c r="S42" s="27">
        <v>50</v>
      </c>
      <c r="T42" s="27">
        <f t="shared" si="6"/>
        <v>40</v>
      </c>
      <c r="U42" s="27">
        <f t="shared" si="7"/>
        <v>40</v>
      </c>
      <c r="V42" s="27"/>
      <c r="W42" s="27"/>
      <c r="X42" s="27">
        <v>40</v>
      </c>
      <c r="Y42" s="27">
        <f t="shared" si="8"/>
        <v>0</v>
      </c>
      <c r="Z42" s="27">
        <f t="shared" si="9"/>
        <v>0</v>
      </c>
      <c r="AA42" s="27">
        <v>402</v>
      </c>
      <c r="AB42" s="27"/>
      <c r="AC42" s="27">
        <v>0</v>
      </c>
      <c r="AD42" s="27">
        <f t="shared" si="10"/>
        <v>402</v>
      </c>
      <c r="AE42" s="27">
        <f t="shared" si="11"/>
        <v>402</v>
      </c>
      <c r="AF42" s="27"/>
      <c r="AG42" s="27"/>
      <c r="AH42" s="27">
        <v>42</v>
      </c>
      <c r="AI42" s="27">
        <f t="shared" si="12"/>
        <v>360</v>
      </c>
      <c r="AJ42" s="27">
        <f t="shared" si="13"/>
        <v>360</v>
      </c>
      <c r="AK42" s="27"/>
      <c r="AL42" s="27"/>
      <c r="AM42" s="27">
        <v>40</v>
      </c>
      <c r="AN42" s="27">
        <f t="shared" si="14"/>
        <v>320</v>
      </c>
      <c r="AO42" s="27">
        <f t="shared" si="15"/>
        <v>320</v>
      </c>
      <c r="AP42" s="27"/>
      <c r="AQ42" s="27"/>
      <c r="AR42" s="27">
        <v>130</v>
      </c>
      <c r="AS42" s="27">
        <f t="shared" si="16"/>
        <v>190</v>
      </c>
      <c r="AT42" s="27">
        <f t="shared" si="17"/>
        <v>190</v>
      </c>
      <c r="AU42" s="27"/>
      <c r="AV42" s="27"/>
      <c r="AW42" s="27">
        <v>60</v>
      </c>
      <c r="AX42" s="27">
        <f t="shared" si="18"/>
        <v>130</v>
      </c>
      <c r="AY42" s="27">
        <f t="shared" si="19"/>
        <v>130</v>
      </c>
      <c r="AZ42" s="27"/>
      <c r="BA42" s="27"/>
      <c r="BB42" s="27">
        <v>110</v>
      </c>
      <c r="BC42" s="27">
        <f t="shared" si="20"/>
        <v>20</v>
      </c>
      <c r="BD42" s="27">
        <f t="shared" si="21"/>
        <v>20</v>
      </c>
      <c r="BE42" s="27"/>
      <c r="BF42" s="27"/>
      <c r="BG42" s="27">
        <v>20</v>
      </c>
      <c r="BH42" s="27">
        <f t="shared" si="22"/>
        <v>0</v>
      </c>
      <c r="BI42" s="27">
        <f t="shared" si="23"/>
        <v>0</v>
      </c>
      <c r="BJ42" s="27">
        <v>1000</v>
      </c>
      <c r="BK42" s="27"/>
      <c r="BL42" s="27">
        <v>0</v>
      </c>
      <c r="BM42" s="27">
        <f t="shared" si="24"/>
        <v>1000</v>
      </c>
      <c r="BN42" s="18">
        <f t="shared" si="25"/>
        <v>1827</v>
      </c>
      <c r="BO42" s="46">
        <f t="shared" si="26"/>
        <v>154</v>
      </c>
      <c r="BP42" s="46">
        <f t="shared" si="27"/>
        <v>1000</v>
      </c>
      <c r="BQ42" s="46">
        <f t="shared" si="28"/>
        <v>577</v>
      </c>
      <c r="BR42" s="18">
        <f t="shared" si="0"/>
        <v>1402</v>
      </c>
      <c r="BS42" s="18">
        <f t="shared" si="29"/>
        <v>556</v>
      </c>
      <c r="BT42" s="18">
        <f t="shared" si="1"/>
        <v>2673</v>
      </c>
      <c r="BU42" s="18">
        <f t="shared" si="30"/>
        <v>1556</v>
      </c>
      <c r="BV42" s="18">
        <f t="shared" si="31"/>
        <v>46.333333333333336</v>
      </c>
      <c r="BW42" s="28">
        <f t="shared" si="2"/>
        <v>0</v>
      </c>
      <c r="BY42" s="2">
        <v>0</v>
      </c>
      <c r="BZ42" s="42">
        <f t="shared" si="32"/>
        <v>0</v>
      </c>
      <c r="CA42" s="43">
        <v>1</v>
      </c>
      <c r="CB42" s="43">
        <v>1</v>
      </c>
      <c r="CC42" s="43">
        <v>1</v>
      </c>
      <c r="CD42" s="44">
        <f t="shared" si="33"/>
        <v>2.6967071057192373</v>
      </c>
      <c r="CE42" s="44">
        <f t="shared" si="34"/>
        <v>33.582733812949641</v>
      </c>
      <c r="CG42" s="45">
        <f t="shared" si="35"/>
        <v>0</v>
      </c>
      <c r="CH42" s="43">
        <v>1</v>
      </c>
      <c r="CI42" s="43">
        <v>1</v>
      </c>
    </row>
    <row r="43" spans="1:87" ht="19" x14ac:dyDescent="0.2">
      <c r="A43" s="4">
        <v>40</v>
      </c>
      <c r="B43" s="5"/>
      <c r="C43" s="4" t="s">
        <v>63</v>
      </c>
      <c r="D43" s="6" t="s">
        <v>6</v>
      </c>
      <c r="E43" s="35">
        <f>28572.51/100</f>
        <v>285.7251</v>
      </c>
      <c r="F43" s="29">
        <v>0</v>
      </c>
      <c r="G43" s="27"/>
      <c r="H43" s="27"/>
      <c r="I43" s="27"/>
      <c r="J43" s="27">
        <f t="shared" si="3"/>
        <v>0</v>
      </c>
      <c r="K43" s="27">
        <f t="shared" si="36"/>
        <v>0</v>
      </c>
      <c r="L43" s="27"/>
      <c r="M43" s="27"/>
      <c r="N43" s="27">
        <v>0</v>
      </c>
      <c r="O43" s="26">
        <f t="shared" si="4"/>
        <v>0</v>
      </c>
      <c r="P43" s="26">
        <f t="shared" si="5"/>
        <v>0</v>
      </c>
      <c r="Q43" s="27"/>
      <c r="R43" s="27"/>
      <c r="S43" s="27">
        <v>0</v>
      </c>
      <c r="T43" s="27">
        <f t="shared" si="6"/>
        <v>0</v>
      </c>
      <c r="U43" s="27">
        <f t="shared" si="7"/>
        <v>0</v>
      </c>
      <c r="V43" s="27"/>
      <c r="W43" s="27"/>
      <c r="X43" s="27">
        <v>0</v>
      </c>
      <c r="Y43" s="27">
        <f t="shared" si="8"/>
        <v>0</v>
      </c>
      <c r="Z43" s="27">
        <f t="shared" si="9"/>
        <v>0</v>
      </c>
      <c r="AA43" s="27">
        <v>6000</v>
      </c>
      <c r="AB43" s="27"/>
      <c r="AC43" s="27">
        <v>0</v>
      </c>
      <c r="AD43" s="27">
        <f t="shared" si="10"/>
        <v>6000</v>
      </c>
      <c r="AE43" s="27">
        <f t="shared" si="11"/>
        <v>6000</v>
      </c>
      <c r="AF43" s="27"/>
      <c r="AG43" s="27"/>
      <c r="AH43" s="27">
        <v>0</v>
      </c>
      <c r="AI43" s="27">
        <f t="shared" si="12"/>
        <v>6000</v>
      </c>
      <c r="AJ43" s="27">
        <f t="shared" si="13"/>
        <v>6000</v>
      </c>
      <c r="AK43" s="27"/>
      <c r="AL43" s="27"/>
      <c r="AM43" s="27">
        <v>300</v>
      </c>
      <c r="AN43" s="27">
        <f t="shared" si="14"/>
        <v>5700</v>
      </c>
      <c r="AO43" s="27">
        <f t="shared" si="15"/>
        <v>5700</v>
      </c>
      <c r="AP43" s="27"/>
      <c r="AQ43" s="27"/>
      <c r="AR43" s="27">
        <v>800</v>
      </c>
      <c r="AS43" s="27">
        <f t="shared" si="16"/>
        <v>4900</v>
      </c>
      <c r="AT43" s="27">
        <f t="shared" si="17"/>
        <v>4900</v>
      </c>
      <c r="AU43" s="27"/>
      <c r="AV43" s="27"/>
      <c r="AW43" s="27">
        <v>100</v>
      </c>
      <c r="AX43" s="27">
        <f t="shared" si="18"/>
        <v>4800</v>
      </c>
      <c r="AY43" s="27">
        <f t="shared" si="19"/>
        <v>4800</v>
      </c>
      <c r="AZ43" s="27"/>
      <c r="BA43" s="27"/>
      <c r="BB43" s="27">
        <v>500</v>
      </c>
      <c r="BC43" s="27">
        <f t="shared" si="20"/>
        <v>4300</v>
      </c>
      <c r="BD43" s="27">
        <f t="shared" si="21"/>
        <v>4300</v>
      </c>
      <c r="BE43" s="27"/>
      <c r="BF43" s="27"/>
      <c r="BG43" s="27">
        <v>300</v>
      </c>
      <c r="BH43" s="27">
        <f t="shared" si="22"/>
        <v>4000</v>
      </c>
      <c r="BI43" s="27">
        <f t="shared" si="23"/>
        <v>4000</v>
      </c>
      <c r="BJ43" s="27"/>
      <c r="BK43" s="27"/>
      <c r="BL43" s="27">
        <v>0</v>
      </c>
      <c r="BM43" s="27">
        <f t="shared" si="24"/>
        <v>4000</v>
      </c>
      <c r="BN43" s="18">
        <f t="shared" si="25"/>
        <v>35700</v>
      </c>
      <c r="BO43" s="46">
        <v>6000</v>
      </c>
      <c r="BP43" s="46">
        <f t="shared" si="27"/>
        <v>10000</v>
      </c>
      <c r="BQ43" s="46">
        <f t="shared" si="28"/>
        <v>8000</v>
      </c>
      <c r="BR43" s="18">
        <f t="shared" si="0"/>
        <v>6000</v>
      </c>
      <c r="BS43" s="18">
        <f t="shared" si="29"/>
        <v>2000</v>
      </c>
      <c r="BT43" s="18">
        <f t="shared" si="1"/>
        <v>39700</v>
      </c>
      <c r="BU43" s="18">
        <f t="shared" si="30"/>
        <v>12000</v>
      </c>
      <c r="BV43" s="18">
        <f t="shared" si="31"/>
        <v>166.66666666666666</v>
      </c>
      <c r="BW43" s="28">
        <f t="shared" si="2"/>
        <v>0</v>
      </c>
      <c r="BY43" s="2">
        <v>10000</v>
      </c>
      <c r="BZ43" s="42">
        <f t="shared" si="32"/>
        <v>5</v>
      </c>
      <c r="CA43" s="43">
        <v>1</v>
      </c>
      <c r="CB43" s="43">
        <v>1</v>
      </c>
      <c r="CC43" s="43">
        <v>1</v>
      </c>
      <c r="CD43" s="44">
        <f t="shared" si="33"/>
        <v>1.5</v>
      </c>
      <c r="CE43" s="44">
        <f t="shared" si="34"/>
        <v>72</v>
      </c>
      <c r="CG43" s="45">
        <f t="shared" si="35"/>
        <v>0</v>
      </c>
      <c r="CH43" s="43">
        <v>1</v>
      </c>
      <c r="CI43" s="43">
        <v>1</v>
      </c>
    </row>
    <row r="44" spans="1:87" ht="23" customHeight="1" x14ac:dyDescent="0.2">
      <c r="A44" s="4">
        <v>41</v>
      </c>
      <c r="B44" s="13">
        <v>92000201</v>
      </c>
      <c r="C44" s="13" t="s">
        <v>44</v>
      </c>
      <c r="D44" s="14" t="s">
        <v>6</v>
      </c>
      <c r="E44" s="38">
        <v>275</v>
      </c>
      <c r="F44" s="39">
        <v>400</v>
      </c>
      <c r="G44" s="40"/>
      <c r="H44" s="40"/>
      <c r="I44" s="40"/>
      <c r="J44" s="40">
        <f t="shared" si="3"/>
        <v>400</v>
      </c>
      <c r="K44" s="40">
        <f t="shared" si="36"/>
        <v>400</v>
      </c>
      <c r="L44" s="40"/>
      <c r="M44" s="40"/>
      <c r="N44" s="40">
        <v>400</v>
      </c>
      <c r="O44" s="39">
        <f t="shared" si="4"/>
        <v>0</v>
      </c>
      <c r="P44" s="39">
        <f t="shared" si="5"/>
        <v>0</v>
      </c>
      <c r="Q44" s="40"/>
      <c r="R44" s="40"/>
      <c r="S44" s="40">
        <v>0</v>
      </c>
      <c r="T44" s="40">
        <f t="shared" si="6"/>
        <v>0</v>
      </c>
      <c r="U44" s="40">
        <f t="shared" si="7"/>
        <v>0</v>
      </c>
      <c r="V44" s="40"/>
      <c r="W44" s="40"/>
      <c r="X44" s="40">
        <v>0</v>
      </c>
      <c r="Y44" s="40">
        <f t="shared" si="8"/>
        <v>0</v>
      </c>
      <c r="Z44" s="40">
        <f t="shared" si="9"/>
        <v>0</v>
      </c>
      <c r="AA44" s="40"/>
      <c r="AB44" s="40"/>
      <c r="AC44" s="40">
        <v>0</v>
      </c>
      <c r="AD44" s="40">
        <f t="shared" si="10"/>
        <v>0</v>
      </c>
      <c r="AE44" s="40">
        <f t="shared" si="11"/>
        <v>0</v>
      </c>
      <c r="AF44" s="40">
        <v>500</v>
      </c>
      <c r="AG44" s="40"/>
      <c r="AH44" s="40">
        <v>200</v>
      </c>
      <c r="AI44" s="40">
        <f t="shared" si="12"/>
        <v>300</v>
      </c>
      <c r="AJ44" s="40">
        <f t="shared" si="13"/>
        <v>300</v>
      </c>
      <c r="AK44" s="40"/>
      <c r="AL44" s="40"/>
      <c r="AM44" s="40">
        <v>300</v>
      </c>
      <c r="AN44" s="40">
        <f t="shared" si="14"/>
        <v>0</v>
      </c>
      <c r="AO44" s="40">
        <f t="shared" si="15"/>
        <v>0</v>
      </c>
      <c r="AP44" s="40">
        <v>6000</v>
      </c>
      <c r="AQ44" s="40"/>
      <c r="AR44" s="40">
        <v>0</v>
      </c>
      <c r="AS44" s="40">
        <f t="shared" si="16"/>
        <v>6000</v>
      </c>
      <c r="AT44" s="40">
        <f t="shared" si="17"/>
        <v>6000</v>
      </c>
      <c r="AU44" s="40"/>
      <c r="AV44" s="40"/>
      <c r="AW44" s="40">
        <v>0</v>
      </c>
      <c r="AX44" s="27">
        <f t="shared" si="18"/>
        <v>6000</v>
      </c>
      <c r="AY44" s="27">
        <f t="shared" si="19"/>
        <v>6000</v>
      </c>
      <c r="AZ44" s="40"/>
      <c r="BA44" s="40"/>
      <c r="BB44" s="40">
        <v>400</v>
      </c>
      <c r="BC44" s="27">
        <f t="shared" si="20"/>
        <v>5600</v>
      </c>
      <c r="BD44" s="27">
        <f t="shared" si="21"/>
        <v>5600</v>
      </c>
      <c r="BE44" s="40"/>
      <c r="BF44" s="40"/>
      <c r="BG44" s="40">
        <v>1500</v>
      </c>
      <c r="BH44" s="27">
        <f t="shared" si="22"/>
        <v>4100</v>
      </c>
      <c r="BI44" s="27">
        <f t="shared" si="23"/>
        <v>4100</v>
      </c>
      <c r="BJ44" s="40"/>
      <c r="BK44" s="40"/>
      <c r="BL44" s="40">
        <v>800</v>
      </c>
      <c r="BM44" s="27">
        <f t="shared" si="24"/>
        <v>3300</v>
      </c>
      <c r="BN44" s="18">
        <f t="shared" si="25"/>
        <v>22800</v>
      </c>
      <c r="BO44" s="46">
        <f t="shared" si="26"/>
        <v>400</v>
      </c>
      <c r="BP44" s="46">
        <f t="shared" si="27"/>
        <v>3300</v>
      </c>
      <c r="BQ44" s="46">
        <f t="shared" si="28"/>
        <v>1850</v>
      </c>
      <c r="BR44" s="18">
        <f t="shared" si="0"/>
        <v>6500</v>
      </c>
      <c r="BS44" s="18">
        <f t="shared" si="29"/>
        <v>3600</v>
      </c>
      <c r="BT44" s="18">
        <f t="shared" si="1"/>
        <v>25700</v>
      </c>
      <c r="BU44" s="18">
        <f t="shared" si="30"/>
        <v>6900</v>
      </c>
      <c r="BV44" s="18">
        <f t="shared" si="31"/>
        <v>300</v>
      </c>
      <c r="BW44" s="28">
        <f t="shared" si="2"/>
        <v>0</v>
      </c>
      <c r="BY44" s="2">
        <v>15000</v>
      </c>
      <c r="BZ44" s="42">
        <f t="shared" si="32"/>
        <v>4.166666666666667</v>
      </c>
      <c r="CA44" s="43">
        <v>1</v>
      </c>
      <c r="CB44" s="43">
        <v>1</v>
      </c>
      <c r="CC44" s="43">
        <v>1</v>
      </c>
      <c r="CD44" s="44">
        <f t="shared" si="33"/>
        <v>3.7297297297297298</v>
      </c>
      <c r="CE44" s="44">
        <f t="shared" si="34"/>
        <v>23</v>
      </c>
      <c r="CG44" s="45">
        <f t="shared" si="35"/>
        <v>0</v>
      </c>
      <c r="CH44" s="43">
        <v>1</v>
      </c>
      <c r="CI44" s="43">
        <v>1</v>
      </c>
    </row>
  </sheetData>
  <mergeCells count="18">
    <mergeCell ref="AO2:AS2"/>
    <mergeCell ref="AT2:AX2"/>
    <mergeCell ref="AY2:BC2"/>
    <mergeCell ref="BD2:BH2"/>
    <mergeCell ref="BI2:BM2"/>
    <mergeCell ref="AJ2:AN2"/>
    <mergeCell ref="A1:C1"/>
    <mergeCell ref="F2:J2"/>
    <mergeCell ref="A2:A3"/>
    <mergeCell ref="B2:B3"/>
    <mergeCell ref="C2:C3"/>
    <mergeCell ref="D2:D3"/>
    <mergeCell ref="E2:E3"/>
    <mergeCell ref="K2:O2"/>
    <mergeCell ref="P2:T2"/>
    <mergeCell ref="U2:Y2"/>
    <mergeCell ref="Z2:AD2"/>
    <mergeCell ref="AE2:A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Camplong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 Winda Lutsina</dc:creator>
  <cp:lastModifiedBy>nowvie88@gmail.com</cp:lastModifiedBy>
  <dcterms:created xsi:type="dcterms:W3CDTF">2026-05-06T09:51:00Z</dcterms:created>
  <dcterms:modified xsi:type="dcterms:W3CDTF">2026-08-09T00:22:58Z</dcterms:modified>
</cp:coreProperties>
</file>